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reandinaeduco-my.sharepoint.com/personal/ccontreras20_estudiantes_areandina_edu_co/Documents/SENA/2026/"/>
    </mc:Choice>
  </mc:AlternateContent>
  <xr:revisionPtr revIDLastSave="1" documentId="11_71BD0F1FA50E46CEB7EEC74DB76EF42FC55025F2" xr6:coauthVersionLast="47" xr6:coauthVersionMax="47" xr10:uidLastSave="{DC821FBE-D255-4E3C-AA63-5F1EF333D6C4}"/>
  <bookViews>
    <workbookView xWindow="-110" yWindow="-110" windowWidth="19420" windowHeight="10300" tabRatio="500" xr2:uid="{00000000-000D-0000-FFFF-FFFF00000000}"/>
  </bookViews>
  <sheets>
    <sheet name="PARAMETROS" sheetId="1" r:id="rId1"/>
    <sheet name="APRENDICES" sheetId="2" r:id="rId2"/>
    <sheet name="ASISTENCIA" sheetId="3" r:id="rId3"/>
    <sheet name="NOTAS" sheetId="4" r:id="rId4"/>
    <sheet name="ALERTAS" sheetId="5" r:id="rId5"/>
    <sheet name="HISTORICO" sheetId="6" r:id="rId6"/>
    <sheet name="DESCRIPCIONES" sheetId="7" r:id="rId11"/>
  </sheets>
  <calcPr fullCalcOnLoad="1"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<sst xmlns="http://schemas.openxmlformats.org/spreadsheetml/2006/main" count="95" uniqueCount="83">
  <si>
    <t>PARÁMETROS DEL CONTROL DE ASISTENCIA</t>
  </si>
  <si>
    <t>REGIONAL</t>
  </si>
  <si>
    <t>CUNDINAMARCA</t>
  </si>
  <si>
    <t>CENTRO</t>
  </si>
  <si>
    <t>CENTRO DE BIOTECNOLOGÍA AGROPECUARIA</t>
  </si>
  <si>
    <t>FICHA</t>
  </si>
  <si>
    <t>(NÚMERO DE FICHA)</t>
  </si>
  <si>
    <t>PROGRAMA DE FORMACIÓN</t>
  </si>
  <si>
    <t>(NOMBRE DEL PROGRAMA)</t>
  </si>
  <si>
    <t>COMPETENCIA</t>
  </si>
  <si>
    <t>(COMPETENCIA)</t>
  </si>
  <si>
    <t>CÓDIGO COMPETENCIA</t>
  </si>
  <si>
    <t>(CÓDIGO)</t>
  </si>
  <si>
    <t>INSTRUCTOR</t>
  </si>
  <si>
    <t>CARLOS JOSÉ GREGORIO CONTRERAS VIVAS</t>
  </si>
  <si>
    <t>DOCUMENTO INSTRUCTOR</t>
  </si>
  <si>
    <t>CORREO INSTRUCTOR</t>
  </si>
  <si>
    <t>cgcontreras@sena.edu.co</t>
  </si>
  <si>
    <t>JORNADA</t>
  </si>
  <si>
    <t>MIXTA</t>
  </si>
  <si>
    <t>LUGAR</t>
  </si>
  <si>
    <t>CBA</t>
  </si>
  <si>
    <t>NOTA MÍNIMA APROBACIÓN</t>
  </si>
  <si>
    <t>RETARDOS PARA LLAMADO DE ATENCIÓN</t>
  </si>
  <si>
    <t>PROCESAR EN AUTOMATIZACIÓN</t>
  </si>
  <si>
    <t>NO</t>
  </si>
  <si>
    <t>NOMENCLATURA Y REGLAS (Acuerdo 009 de 2024 - debido proceso)</t>
  </si>
  <si>
    <t>X</t>
  </si>
  <si>
    <t>Asiste</t>
  </si>
  <si>
    <t>Falla injustificada → motivo de medida</t>
  </si>
  <si>
    <t>E</t>
  </si>
  <si>
    <t>Falla con excusa justificada (Art. 28) → NO genera medida</t>
  </si>
  <si>
    <t>R</t>
  </si>
  <si>
    <t>Retardo: cada 2 retardos acumulados = 1 motivo de medida (Art. 8, num. 5)</t>
  </si>
  <si>
    <t>Nota 7 a 10</t>
  </si>
  <si>
    <t>Evidencia aprobada</t>
  </si>
  <si>
    <t>Nota 1 a 6.9</t>
  </si>
  <si>
    <t>No superó la evidencia → motivo de medida</t>
  </si>
  <si>
    <t>Sin nota habiendo asistido (X o R)</t>
  </si>
  <si>
    <t>Evidencia no presentada en Classroom → motivo de medida</t>
  </si>
  <si>
    <t>MOTIVO</t>
  </si>
  <si>
    <t>Máximo 1 por sesión (retardos se acumulan por pares). Todos los motivos del periodo van en UNA sola acta</t>
  </si>
  <si>
    <t>ESCALAMIENTO (Art. 46)</t>
  </si>
  <si>
    <t>1er llamado → 2do llamado con orientaciones → plan de mejoramiento → comité. Lo controla el generador de actas (registro)</t>
  </si>
  <si>
    <t>HOJA ALERTAS</t>
  </si>
  <si>
    <t>Es una vista informativa SIN filtro de periodo. La decisión final la calcula el generador desde ASISTENCIA y NOTAS</t>
  </si>
  <si>
    <t>ESTADOS DEL APRENDIZ</t>
  </si>
  <si>
    <t>Lista desplegable en APRENDICES columna E. SOLO 'EN FORMACIÓN' recibe llamados de atención; el generador omite todos los demás estados.</t>
  </si>
  <si>
    <t>COLORES POR ESTADO</t>
  </si>
  <si>
    <t>En ASISTENCIA, NOTAS y ALERTAS: ROJO = EN PROCESO DE DESERCIÓN · AZUL = CANCELADO, TRASLADADO, APLAZADO · NARANJA = CONDICIONADO, REPORTADO A COMITÉ, RETIRO VOLUNTARIO · NEGRO = EN FORMACIÓN (aprendiz activo).</t>
  </si>
  <si>
    <t>EVALUADO EN SOFIA (columna F)</t>
  </si>
  <si>
    <t>SI / NO. Lo usa el acta de entrega de ficha para separar aprendices evaluados de no evaluados.</t>
  </si>
  <si>
    <t>NOVEDAD (columna G)</t>
  </si>
  <si>
    <t>Texto libre. Se anexa a la causa de no evaluación en el acta de entrega y alimenta el borrador de novedades del acta de equipo ejecutor.</t>
  </si>
  <si>
    <t>No.</t>
  </si>
  <si>
    <t>DOCUMENTO</t>
  </si>
  <si>
    <t>APELLIDOS Y NOMBRES</t>
  </si>
  <si>
    <t>CORREO ELECTRÓNICO</t>
  </si>
  <si>
    <t>ESTADO</t>
  </si>
  <si>
    <t>EVALUADO EN SOFIA (SI/NO)</t>
  </si>
  <si>
    <t>NOVEDAD</t>
  </si>
  <si>
    <t>CORREO</t>
  </si>
  <si>
    <t>ASISTENCIAS (X)</t>
  </si>
  <si>
    <t>FALLAS INJUSTIFICADAS (0)</t>
  </si>
  <si>
    <t>FALLAS CON EXCUSA (E)</t>
  </si>
  <si>
    <t>RETARDOS (R)</t>
  </si>
  <si>
    <t>EVIDENCIAS NO PRESENTADAS</t>
  </si>
  <si>
    <t>EVIDENCIAS CON NOTA BAJA (1 a &lt;7)</t>
  </si>
  <si>
    <t>SESIONES CON MOTIVO</t>
  </si>
  <si>
    <t>MOTIVOS TOTALES (incluye pares de retardos)</t>
  </si>
  <si>
    <t>REQUIERE MEDIDA</t>
  </si>
  <si>
    <t>ACCIÓN</t>
  </si>
  <si>
    <t>FECHAS DE SESIONES CON MOTIVO</t>
  </si>
  <si>
    <t>FECHA GENERACIÓN</t>
  </si>
  <si>
    <t>APRENDIZ</t>
  </si>
  <si>
    <t>TIPO DE MEDIDA</t>
  </si>
  <si>
    <t>No. ACTA</t>
  </si>
  <si>
    <t>ENVIADO AL APRENDIZ (SI/NO)</t>
  </si>
  <si>
    <t>FIRMADA (SI/NO)</t>
  </si>
  <si>
    <t>OBSERVACIONES</t>
  </si>
  <si>
    <t>COORDINADOR ACADÉMICO</t>
  </si>
  <si>
    <t>NATALIA PALACIOS CASTAÑEDA</t>
  </si>
  <si>
    <t>GENERAR ACTA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</si>
</sst>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04D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39A900"/>
        <bgColor rgb="FF008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0" xfId="0" applyFont="1" applyFill="1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9">
    <dxf>
      <font>
        <color rgb="FFE65100"/>
      </font>
    </dxf>
    <dxf>
      <font>
        <color rgb="FF0000FF"/>
      </font>
    </dxf>
    <dxf>
      <font>
        <color rgb="FFFF0000"/>
      </font>
    </dxf>
    <dxf>
      <font>
        <color rgb="FFE65100"/>
      </font>
    </dxf>
    <dxf>
      <font>
        <color rgb="FF0000FF"/>
      </font>
    </dxf>
    <dxf>
      <font>
        <color rgb="FFFF0000"/>
      </font>
    </dxf>
    <dxf>
      <font>
        <color rgb="FFE65100"/>
      </font>
    </dxf>
    <dxf>
      <font>
        <color rgb="FF0000FF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04D"/>
      <rgbColor rgb="FF39A90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7" zoomScaleNormal="100" workbookViewId="0">
      <selection activeCell="A16" sqref="A16:XFD17"/>
    </sheetView>
  </sheetViews>
  <sheetFormatPr baseColWidth="10" defaultColWidth="8.6328125" defaultRowHeight="14.5" x14ac:dyDescent="0.35"/>
  <cols>
    <col min="1" max="1" width="42" customWidth="1"/>
    <col min="2" max="2" width="60" customWidth="1"/>
  </cols>
  <sheetData>
    <row r="1" spans="1:2" ht="15" customHeight="1" x14ac:dyDescent="0.35">
      <c r="A1" s="2" t="s">
        <v>0</v>
      </c>
      <c r="B1" s="2"/>
    </row>
    <row r="2" spans="1:2" ht="14.25" customHeight="1" x14ac:dyDescent="0.35">
      <c r="A2" s="3" t="s">
        <v>1</v>
      </c>
      <c r="B2" s="4" t="s">
        <v>2</v>
      </c>
    </row>
    <row r="3" spans="1:2" ht="14.25" customHeight="1" x14ac:dyDescent="0.35">
      <c r="A3" s="3" t="s">
        <v>3</v>
      </c>
      <c r="B3" s="4" t="s">
        <v>4</v>
      </c>
    </row>
    <row r="4" spans="1:2" ht="14.25" customHeight="1" x14ac:dyDescent="0.35">
      <c r="A4" s="3" t="s">
        <v>5</v>
      </c>
      <c r="B4" s="4" t="s">
        <v>6</v>
      </c>
    </row>
    <row r="5" spans="1:2" ht="14.25" customHeight="1" x14ac:dyDescent="0.35">
      <c r="A5" s="3" t="s">
        <v>7</v>
      </c>
      <c r="B5" s="4" t="s">
        <v>8</v>
      </c>
    </row>
    <row r="6" spans="1:2" ht="14.25" customHeight="1" x14ac:dyDescent="0.35">
      <c r="A6" s="3" t="s">
        <v>9</v>
      </c>
      <c r="B6" s="4" t="s">
        <v>10</v>
      </c>
    </row>
    <row r="7" spans="1:2" ht="14.25" customHeight="1" x14ac:dyDescent="0.35">
      <c r="A7" s="3" t="s">
        <v>11</v>
      </c>
      <c r="B7" s="4" t="s">
        <v>12</v>
      </c>
    </row>
    <row r="8" spans="1:2" ht="14.25" customHeight="1" x14ac:dyDescent="0.35">
      <c r="A8" s="3" t="s">
        <v>13</v>
      </c>
      <c r="B8" s="4" t="s">
        <v>14</v>
      </c>
    </row>
    <row r="9" spans="1:2" ht="14.25" customHeight="1" x14ac:dyDescent="0.35">
      <c r="A9" s="3" t="s">
        <v>15</v>
      </c>
      <c r="B9" s="4">
        <v>11440593</v>
      </c>
    </row>
    <row r="10" spans="1:2" ht="14.25" customHeight="1" x14ac:dyDescent="0.35">
      <c r="A10" s="3" t="s">
        <v>16</v>
      </c>
      <c r="B10" s="4" t="s">
        <v>17</v>
      </c>
    </row>
    <row r="11" spans="1:2" ht="14.25" customHeight="1" x14ac:dyDescent="0.35">
      <c r="A11" s="3" t="s">
        <v>18</v>
      </c>
      <c r="B11" s="4" t="s">
        <v>19</v>
      </c>
    </row>
    <row r="12" spans="1:2" ht="14.25" customHeight="1" x14ac:dyDescent="0.35">
      <c r="A12" s="3" t="s">
        <v>20</v>
      </c>
      <c r="B12" s="4" t="s">
        <v>21</v>
      </c>
    </row>
    <row r="13" spans="1:2" ht="14.25" customHeight="1" x14ac:dyDescent="0.35">
      <c r="A13" s="3" t="s">
        <v>22</v>
      </c>
      <c r="B13" s="4">
        <v>7</v>
      </c>
    </row>
    <row r="14" spans="1:2" ht="14.25" customHeight="1" x14ac:dyDescent="0.35">
      <c r="A14" s="3" t="s">
        <v>23</v>
      </c>
      <c r="B14" s="4">
        <v>2</v>
      </c>
    </row>
    <row r="15" spans="1:2" ht="14.25" customHeight="1" x14ac:dyDescent="0.35">
      <c r="A15" s="3" t="s">
        <v>24</v>
      </c>
      <c r="B15" s="4" t="s">
        <v>25</v>
      </c>
    </row>
    <row r="16" spans="1:2" ht="15" customHeight="1" x14ac:dyDescent="0.35">
      <c r="A16" s="8" t="s">
        <v>80</v>
      </c>
      <c r="B16" s="9" t="s">
        <v>81</v>
      </c>
    </row>
    <row r="17" spans="1:2" ht="15" customHeight="1" x14ac:dyDescent="0.35">
      <c r="A17" s="8" t="s">
        <v>82</v>
      </c>
      <c r="B17" s="9" t="s">
        <v>25</v>
      </c>
    </row>
    <row r="18" spans="1:2" ht="14.25" customHeight="1" x14ac:dyDescent="0.35">
      <c r="A18" s="1" t="s">
        <v>26</v>
      </c>
      <c r="B18" s="1"/>
    </row>
    <row r="19" spans="1:2" ht="14.25" customHeight="1" x14ac:dyDescent="0.35">
      <c r="A19" s="5" t="s">
        <v>27</v>
      </c>
      <c r="B19" s="4" t="s">
        <v>28</v>
      </c>
    </row>
    <row r="20" spans="1:2" ht="14.25" customHeight="1" x14ac:dyDescent="0.35">
      <c r="A20" s="5">
        <v>0</v>
      </c>
      <c r="B20" s="4" t="s">
        <v>29</v>
      </c>
    </row>
    <row r="21" spans="1:2" ht="14.25" customHeight="1" x14ac:dyDescent="0.35">
      <c r="A21" s="5" t="s">
        <v>30</v>
      </c>
      <c r="B21" s="4" t="s">
        <v>31</v>
      </c>
    </row>
    <row r="22" spans="1:2" ht="24.75" customHeight="1" x14ac:dyDescent="0.35">
      <c r="A22" s="5" t="s">
        <v>32</v>
      </c>
      <c r="B22" s="4" t="s">
        <v>33</v>
      </c>
    </row>
    <row r="23" spans="1:2" ht="14.25" customHeight="1" x14ac:dyDescent="0.35">
      <c r="A23" s="5" t="s">
        <v>34</v>
      </c>
      <c r="B23" s="4" t="s">
        <v>35</v>
      </c>
    </row>
    <row r="24" spans="1:2" ht="14.25" customHeight="1" x14ac:dyDescent="0.35">
      <c r="A24" s="5" t="s">
        <v>36</v>
      </c>
      <c r="B24" s="4" t="s">
        <v>37</v>
      </c>
    </row>
    <row r="25" spans="1:2" ht="14.25" customHeight="1" x14ac:dyDescent="0.35">
      <c r="A25" s="5" t="s">
        <v>38</v>
      </c>
      <c r="B25" s="4" t="s">
        <v>39</v>
      </c>
    </row>
    <row r="26" spans="1:2" ht="24.75" customHeight="1" x14ac:dyDescent="0.35">
      <c r="A26" s="5" t="s">
        <v>40</v>
      </c>
      <c r="B26" s="4" t="s">
        <v>41</v>
      </c>
    </row>
    <row r="27" spans="1:2" ht="24.75" customHeight="1" x14ac:dyDescent="0.35">
      <c r="A27" s="5" t="s">
        <v>42</v>
      </c>
      <c r="B27" s="4" t="s">
        <v>43</v>
      </c>
    </row>
    <row r="28" spans="1:2" ht="24.75" customHeight="1" x14ac:dyDescent="0.35">
      <c r="A28" s="5" t="s">
        <v>44</v>
      </c>
      <c r="B28" s="4" t="s">
        <v>45</v>
      </c>
    </row>
    <row r="29" spans="1:2" ht="34.5" customHeight="1" x14ac:dyDescent="0.35">
      <c r="A29" s="5" t="s">
        <v>46</v>
      </c>
      <c r="B29" s="4" t="s">
        <v>47</v>
      </c>
    </row>
    <row r="30" spans="1:2" ht="45.75" customHeight="1" x14ac:dyDescent="0.35">
      <c r="A30" s="5" t="s">
        <v>48</v>
      </c>
      <c r="B30" s="4" t="s">
        <v>49</v>
      </c>
    </row>
    <row r="31" spans="1:2" ht="25" x14ac:dyDescent="0.35">
      <c r="A31" s="5" t="s">
        <v>50</v>
      </c>
      <c r="B31" s="4" t="s">
        <v>51</v>
      </c>
    </row>
    <row r="32" spans="1:2" ht="25" x14ac:dyDescent="0.35">
      <c r="A32" s="5" t="s">
        <v>52</v>
      </c>
      <c r="B32" s="4" t="s">
        <v>53</v>
      </c>
    </row>
  </sheetData>
  <mergeCells count="2">
    <mergeCell ref="A1:B1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5" customWidth="1"/>
    <col min="2" max="2" width="14" customWidth="1"/>
    <col min="3" max="3" width="38" customWidth="1"/>
    <col min="4" max="4" width="34" customWidth="1"/>
    <col min="5" max="5" width="10" customWidth="1"/>
    <col min="6" max="6" width="26.453125" customWidth="1"/>
    <col min="7" max="7" width="34" customWidth="1"/>
  </cols>
  <sheetData>
    <row r="1" spans="1:7" ht="14.25" customHeight="1" x14ac:dyDescent="0.35">
      <c r="A1" s="6" t="s">
        <v>54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</row>
    <row r="2" spans="1:7" ht="14.25" customHeight="1" x14ac:dyDescent="0.35">
      <c r="A2" s="7">
        <v>1</v>
      </c>
      <c r="B2" s="7"/>
      <c r="C2" s="4"/>
      <c r="D2" s="4"/>
      <c r="E2" s="7"/>
      <c r="F2" s="7"/>
      <c r="G2" s="7"/>
    </row>
    <row r="3" spans="1:7" ht="14.25" customHeight="1" x14ac:dyDescent="0.35">
      <c r="A3" s="7">
        <v>2</v>
      </c>
      <c r="B3" s="7"/>
      <c r="C3" s="4"/>
      <c r="D3" s="4"/>
      <c r="E3" s="7"/>
      <c r="F3" s="7"/>
      <c r="G3" s="7"/>
    </row>
    <row r="4" spans="1:7" ht="14.25" customHeight="1" x14ac:dyDescent="0.35">
      <c r="A4" s="7">
        <v>3</v>
      </c>
      <c r="B4" s="7"/>
      <c r="C4" s="4"/>
      <c r="D4" s="4"/>
      <c r="E4" s="7"/>
      <c r="F4" s="7"/>
      <c r="G4" s="7"/>
    </row>
    <row r="5" spans="1:7" ht="14.25" customHeight="1" x14ac:dyDescent="0.35">
      <c r="A5" s="7">
        <v>4</v>
      </c>
      <c r="B5" s="7"/>
      <c r="C5" s="4"/>
      <c r="D5" s="4"/>
      <c r="E5" s="7"/>
      <c r="F5" s="7"/>
      <c r="G5" s="7"/>
    </row>
    <row r="6" spans="1:7" ht="14.25" customHeight="1" x14ac:dyDescent="0.35">
      <c r="A6" s="7">
        <v>5</v>
      </c>
      <c r="B6" s="7"/>
      <c r="C6" s="4"/>
      <c r="D6" s="4"/>
      <c r="E6" s="7"/>
      <c r="F6" s="7"/>
      <c r="G6" s="7"/>
    </row>
    <row r="7" spans="1:7" ht="14.25" customHeight="1" x14ac:dyDescent="0.35">
      <c r="A7" s="7">
        <v>6</v>
      </c>
      <c r="B7" s="7"/>
      <c r="C7" s="4"/>
      <c r="D7" s="4"/>
      <c r="E7" s="7"/>
      <c r="F7" s="7"/>
      <c r="G7" s="7"/>
    </row>
    <row r="8" spans="1:7" ht="14.25" customHeight="1" x14ac:dyDescent="0.35">
      <c r="A8" s="7">
        <v>7</v>
      </c>
      <c r="B8" s="7"/>
      <c r="C8" s="4"/>
      <c r="D8" s="4"/>
      <c r="E8" s="7"/>
      <c r="F8" s="7"/>
      <c r="G8" s="7"/>
    </row>
    <row r="9" spans="1:7" ht="14.25" customHeight="1" x14ac:dyDescent="0.35">
      <c r="A9" s="7">
        <v>8</v>
      </c>
      <c r="B9" s="7"/>
      <c r="C9" s="4"/>
      <c r="D9" s="4"/>
      <c r="E9" s="7"/>
      <c r="F9" s="7"/>
      <c r="G9" s="7"/>
    </row>
    <row r="10" spans="1:7" ht="14.25" customHeight="1" x14ac:dyDescent="0.35">
      <c r="A10" s="7">
        <v>9</v>
      </c>
      <c r="B10" s="7"/>
      <c r="C10" s="4"/>
      <c r="D10" s="4"/>
      <c r="E10" s="7"/>
      <c r="F10" s="7"/>
      <c r="G10" s="7"/>
    </row>
    <row r="11" spans="1:7" ht="14.25" customHeight="1" x14ac:dyDescent="0.35">
      <c r="A11" s="7">
        <v>10</v>
      </c>
      <c r="B11" s="7"/>
      <c r="C11" s="4"/>
      <c r="D11" s="4"/>
      <c r="E11" s="7"/>
      <c r="F11" s="7"/>
      <c r="G11" s="7"/>
    </row>
    <row r="12" spans="1:7" ht="14.25" customHeight="1" x14ac:dyDescent="0.35">
      <c r="A12" s="7">
        <v>11</v>
      </c>
      <c r="B12" s="7"/>
      <c r="C12" s="4"/>
      <c r="D12" s="4"/>
      <c r="E12" s="7"/>
      <c r="F12" s="7"/>
      <c r="G12" s="7"/>
    </row>
    <row r="13" spans="1:7" ht="14.25" customHeight="1" x14ac:dyDescent="0.35">
      <c r="A13" s="7">
        <v>12</v>
      </c>
      <c r="B13" s="7"/>
      <c r="C13" s="4"/>
      <c r="D13" s="4"/>
      <c r="E13" s="7"/>
      <c r="F13" s="7"/>
      <c r="G13" s="7"/>
    </row>
    <row r="14" spans="1:7" ht="14.25" customHeight="1" x14ac:dyDescent="0.35">
      <c r="A14" s="7">
        <v>13</v>
      </c>
      <c r="B14" s="7"/>
      <c r="C14" s="4"/>
      <c r="D14" s="4"/>
      <c r="E14" s="7"/>
      <c r="F14" s="7"/>
      <c r="G14" s="7"/>
    </row>
    <row r="15" spans="1:7" ht="14.25" customHeight="1" x14ac:dyDescent="0.35">
      <c r="A15" s="7">
        <v>14</v>
      </c>
      <c r="B15" s="7"/>
      <c r="C15" s="4"/>
      <c r="D15" s="4"/>
      <c r="E15" s="7"/>
      <c r="F15" s="7"/>
      <c r="G15" s="7"/>
    </row>
    <row r="16" spans="1:7" ht="14.25" customHeight="1" x14ac:dyDescent="0.35">
      <c r="A16" s="7">
        <v>15</v>
      </c>
      <c r="B16" s="7"/>
      <c r="C16" s="4"/>
      <c r="D16" s="4"/>
      <c r="E16" s="7"/>
      <c r="F16" s="7"/>
      <c r="G16" s="7"/>
    </row>
    <row r="17" spans="1:7" ht="14.25" customHeight="1" x14ac:dyDescent="0.35">
      <c r="A17" s="7">
        <v>16</v>
      </c>
      <c r="B17" s="7"/>
      <c r="C17" s="4"/>
      <c r="D17" s="4"/>
      <c r="E17" s="7"/>
      <c r="F17" s="7"/>
      <c r="G17" s="7"/>
    </row>
    <row r="18" spans="1:7" ht="14.25" customHeight="1" x14ac:dyDescent="0.35">
      <c r="A18" s="7">
        <v>17</v>
      </c>
      <c r="B18" s="7"/>
      <c r="C18" s="4"/>
      <c r="D18" s="4"/>
      <c r="E18" s="7"/>
      <c r="F18" s="7"/>
      <c r="G18" s="7"/>
    </row>
    <row r="19" spans="1:7" ht="14.25" customHeight="1" x14ac:dyDescent="0.35">
      <c r="A19" s="7">
        <v>18</v>
      </c>
      <c r="B19" s="7"/>
      <c r="C19" s="4"/>
      <c r="D19" s="4"/>
      <c r="E19" s="7"/>
      <c r="F19" s="7"/>
      <c r="G19" s="7"/>
    </row>
    <row r="20" spans="1:7" ht="14.25" customHeight="1" x14ac:dyDescent="0.35">
      <c r="A20" s="7">
        <v>19</v>
      </c>
      <c r="B20" s="7"/>
      <c r="C20" s="4"/>
      <c r="D20" s="4"/>
      <c r="E20" s="7"/>
      <c r="F20" s="7"/>
      <c r="G20" s="7"/>
    </row>
    <row r="21" spans="1:7" ht="14.25" customHeight="1" x14ac:dyDescent="0.35">
      <c r="A21" s="7">
        <v>20</v>
      </c>
      <c r="B21" s="7"/>
      <c r="C21" s="4"/>
      <c r="D21" s="4"/>
      <c r="E21" s="7"/>
      <c r="F21" s="7"/>
      <c r="G21" s="7"/>
    </row>
    <row r="22" spans="1:7" ht="14.25" customHeight="1" x14ac:dyDescent="0.35">
      <c r="A22" s="7">
        <v>21</v>
      </c>
      <c r="B22" s="7"/>
      <c r="C22" s="4"/>
      <c r="D22" s="4"/>
      <c r="E22" s="7"/>
      <c r="F22" s="7"/>
      <c r="G22" s="7"/>
    </row>
    <row r="23" spans="1:7" ht="14.25" customHeight="1" x14ac:dyDescent="0.35">
      <c r="A23" s="7">
        <v>22</v>
      </c>
      <c r="B23" s="7"/>
      <c r="C23" s="4"/>
      <c r="D23" s="4"/>
      <c r="E23" s="7"/>
      <c r="F23" s="7"/>
      <c r="G23" s="7"/>
    </row>
    <row r="24" spans="1:7" ht="14.25" customHeight="1" x14ac:dyDescent="0.35">
      <c r="A24" s="7">
        <v>23</v>
      </c>
      <c r="B24" s="7"/>
      <c r="C24" s="4"/>
      <c r="D24" s="4"/>
      <c r="E24" s="7"/>
      <c r="F24" s="7"/>
      <c r="G24" s="7"/>
    </row>
    <row r="25" spans="1:7" ht="14.25" customHeight="1" x14ac:dyDescent="0.35">
      <c r="A25" s="7">
        <v>24</v>
      </c>
      <c r="B25" s="7"/>
      <c r="C25" s="4"/>
      <c r="D25" s="4"/>
      <c r="E25" s="7"/>
      <c r="F25" s="7"/>
      <c r="G25" s="7"/>
    </row>
    <row r="26" spans="1:7" ht="14.25" customHeight="1" x14ac:dyDescent="0.35">
      <c r="A26" s="7">
        <v>25</v>
      </c>
      <c r="B26" s="7"/>
      <c r="C26" s="4"/>
      <c r="D26" s="4"/>
      <c r="E26" s="7"/>
      <c r="F26" s="7"/>
      <c r="G26" s="7"/>
    </row>
    <row r="27" spans="1:7" ht="14.25" customHeight="1" x14ac:dyDescent="0.35">
      <c r="A27" s="7">
        <v>26</v>
      </c>
      <c r="B27" s="7"/>
      <c r="C27" s="4"/>
      <c r="D27" s="4"/>
      <c r="E27" s="7"/>
      <c r="F27" s="7"/>
      <c r="G27" s="7"/>
    </row>
    <row r="28" spans="1:7" ht="14.25" customHeight="1" x14ac:dyDescent="0.35">
      <c r="A28" s="7">
        <v>27</v>
      </c>
      <c r="B28" s="7"/>
      <c r="C28" s="4"/>
      <c r="D28" s="4"/>
      <c r="E28" s="7"/>
      <c r="F28" s="7"/>
      <c r="G28" s="7"/>
    </row>
    <row r="29" spans="1:7" ht="14.25" customHeight="1" x14ac:dyDescent="0.35">
      <c r="A29" s="7">
        <v>28</v>
      </c>
      <c r="B29" s="7"/>
      <c r="C29" s="4"/>
      <c r="D29" s="4"/>
      <c r="E29" s="7"/>
      <c r="F29" s="7"/>
      <c r="G29" s="7"/>
    </row>
    <row r="30" spans="1:7" ht="14.25" customHeight="1" x14ac:dyDescent="0.35">
      <c r="A30" s="7">
        <v>29</v>
      </c>
      <c r="B30" s="7"/>
      <c r="C30" s="4"/>
      <c r="D30" s="4"/>
      <c r="E30" s="7"/>
      <c r="F30" s="7"/>
      <c r="G30" s="7"/>
    </row>
    <row r="31" spans="1:7" ht="14.25" customHeight="1" x14ac:dyDescent="0.35">
      <c r="A31" s="7">
        <v>30</v>
      </c>
      <c r="B31" s="7"/>
      <c r="C31" s="4"/>
      <c r="D31" s="4"/>
      <c r="E31" s="7"/>
      <c r="F31" s="7"/>
      <c r="G31" s="7"/>
    </row>
    <row r="32" spans="1:7" ht="14.25" customHeight="1" x14ac:dyDescent="0.35">
      <c r="A32" s="7">
        <v>31</v>
      </c>
      <c r="B32" s="7"/>
      <c r="C32" s="4"/>
      <c r="D32" s="4"/>
      <c r="E32" s="7"/>
      <c r="F32" s="7"/>
      <c r="G32" s="7"/>
    </row>
    <row r="33" spans="1:7" ht="14.25" customHeight="1" x14ac:dyDescent="0.35">
      <c r="A33" s="7">
        <v>32</v>
      </c>
      <c r="B33" s="7"/>
      <c r="C33" s="4"/>
      <c r="D33" s="4"/>
      <c r="E33" s="7"/>
      <c r="F33" s="7"/>
      <c r="G33" s="7"/>
    </row>
    <row r="34" spans="1:7" ht="14.25" customHeight="1" x14ac:dyDescent="0.35">
      <c r="A34" s="7">
        <v>33</v>
      </c>
      <c r="B34" s="7"/>
      <c r="C34" s="4"/>
      <c r="D34" s="4"/>
      <c r="E34" s="7"/>
      <c r="F34" s="7"/>
      <c r="G34" s="7"/>
    </row>
    <row r="35" spans="1:7" ht="14.25" customHeight="1" x14ac:dyDescent="0.35">
      <c r="A35" s="7">
        <v>34</v>
      </c>
      <c r="B35" s="7"/>
      <c r="C35" s="4"/>
      <c r="D35" s="4"/>
      <c r="E35" s="7"/>
      <c r="F35" s="7"/>
      <c r="G35" s="7"/>
    </row>
    <row r="36" spans="1:7" ht="14.25" customHeight="1" x14ac:dyDescent="0.35">
      <c r="A36" s="7">
        <v>35</v>
      </c>
      <c r="B36" s="7"/>
      <c r="C36" s="4"/>
      <c r="D36" s="4"/>
      <c r="E36" s="7"/>
      <c r="F36" s="7"/>
      <c r="G36" s="7"/>
    </row>
    <row r="37" spans="1:7" ht="14.25" customHeight="1" x14ac:dyDescent="0.35">
      <c r="A37" s="7">
        <v>36</v>
      </c>
      <c r="B37" s="7"/>
      <c r="C37" s="4"/>
      <c r="D37" s="4"/>
      <c r="E37" s="7"/>
      <c r="F37" s="7"/>
      <c r="G37" s="7"/>
    </row>
    <row r="38" spans="1:7" ht="14.25" customHeight="1" x14ac:dyDescent="0.35">
      <c r="A38" s="7">
        <v>37</v>
      </c>
      <c r="B38" s="7"/>
      <c r="C38" s="4"/>
      <c r="D38" s="4"/>
      <c r="E38" s="7"/>
      <c r="F38" s="7"/>
      <c r="G38" s="7"/>
    </row>
    <row r="39" spans="1:7" ht="14.25" customHeight="1" x14ac:dyDescent="0.35">
      <c r="A39" s="7">
        <v>38</v>
      </c>
      <c r="B39" s="7"/>
      <c r="C39" s="4"/>
      <c r="D39" s="4"/>
      <c r="E39" s="7"/>
      <c r="F39" s="7"/>
      <c r="G39" s="7"/>
    </row>
    <row r="40" spans="1:7" ht="14.25" customHeight="1" x14ac:dyDescent="0.35">
      <c r="A40" s="7">
        <v>39</v>
      </c>
      <c r="B40" s="7"/>
      <c r="C40" s="4"/>
      <c r="D40" s="4"/>
      <c r="E40" s="7"/>
      <c r="F40" s="7"/>
      <c r="G40" s="7"/>
    </row>
    <row r="41" spans="1:7" ht="14.25" customHeight="1" x14ac:dyDescent="0.35">
      <c r="A41" s="7">
        <v>40</v>
      </c>
      <c r="B41" s="7"/>
      <c r="C41" s="4"/>
      <c r="D41" s="4"/>
      <c r="E41" s="7"/>
      <c r="F41" s="7"/>
      <c r="G41" s="7"/>
    </row>
  </sheetData>
  <dataValidations count="2">
    <dataValidation type="list" allowBlank="1" showInputMessage="1" showErrorMessage="1" errorTitle="Estado no válido" error="Seleccione un estado de la lista. Solo los aprendices EN FORMACIÓN reciben llamados de atención." promptTitle="Estado del aprendiz" prompt="Elija el estado. Solo EN FORMACIÓN genera llamados de atención." sqref="E2:E41" xr:uid="{00000000-0002-0000-0100-000000000000}">
      <formula1>"EN FORMACIÓN,CONDICIONADO,REPORTADO A COMITÉ,EN PROCESO DE DESERCIÓN,CANCELADO,RETIRO VOLUNTARIO,TRASLADADO,APLAZADO"</formula1>
      <formula2>0</formula2>
    </dataValidation>
    <dataValidation type="list" allowBlank="1" showInputMessage="1" showErrorMessage="1" errorTitle="Valor no válido" error="Seleccione SI o NO." promptTitle="Evaluado en SOFIA Plus" prompt="SI = el aprendiz ya fue evaluado en SOFIA Plus para esta competencia." sqref="F2:F41" xr:uid="{00000000-0002-0000-0100-000001000000}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5" customWidth="1"/>
    <col min="2" max="2" width="14" customWidth="1"/>
    <col min="3" max="3" width="38" customWidth="1"/>
    <col min="4" max="23" width="12" customWidth="1"/>
  </cols>
  <sheetData>
    <row r="1" spans="1:23" ht="14.25" customHeight="1" x14ac:dyDescent="0.35">
      <c r="A1" s="6" t="s">
        <v>54</v>
      </c>
      <c r="B1" s="6" t="s">
        <v>55</v>
      </c>
      <c r="C1" s="6" t="s">
        <v>56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25" customHeight="1" x14ac:dyDescent="0.35">
      <c r="A2" s="7">
        <f>APRENDICES!A2</f>
        <v>1</v>
      </c>
      <c r="B2" s="7">
        <f>APRENDICES!B2</f>
        <v>0</v>
      </c>
      <c r="C2" s="4">
        <f>APRENDICES!C2</f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4.25" customHeight="1" x14ac:dyDescent="0.35">
      <c r="A3" s="7">
        <f>APRENDICES!A3</f>
        <v>2</v>
      </c>
      <c r="B3" s="7">
        <f>APRENDICES!B3</f>
        <v>0</v>
      </c>
      <c r="C3" s="4">
        <f>APRENDICES!C3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4.25" customHeight="1" x14ac:dyDescent="0.35">
      <c r="A4" s="7">
        <f>APRENDICES!A4</f>
        <v>3</v>
      </c>
      <c r="B4" s="7">
        <f>APRENDICES!B4</f>
        <v>0</v>
      </c>
      <c r="C4" s="4">
        <f>APRENDICES!C4</f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4.25" customHeight="1" x14ac:dyDescent="0.35">
      <c r="A5" s="7">
        <f>APRENDICES!A5</f>
        <v>4</v>
      </c>
      <c r="B5" s="7">
        <f>APRENDICES!B5</f>
        <v>0</v>
      </c>
      <c r="C5" s="4">
        <f>APRENDICES!C5</f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4.25" customHeight="1" x14ac:dyDescent="0.35">
      <c r="A6" s="7">
        <f>APRENDICES!A6</f>
        <v>5</v>
      </c>
      <c r="B6" s="7">
        <f>APRENDICES!B6</f>
        <v>0</v>
      </c>
      <c r="C6" s="4">
        <f>APRENDICES!C6</f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4.25" customHeight="1" x14ac:dyDescent="0.35">
      <c r="A7" s="7">
        <f>APRENDICES!A7</f>
        <v>6</v>
      </c>
      <c r="B7" s="7">
        <f>APRENDICES!B7</f>
        <v>0</v>
      </c>
      <c r="C7" s="4">
        <f>APRENDICES!C7</f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4.25" customHeight="1" x14ac:dyDescent="0.35">
      <c r="A8" s="7">
        <f>APRENDICES!A8</f>
        <v>7</v>
      </c>
      <c r="B8" s="7">
        <f>APRENDICES!B8</f>
        <v>0</v>
      </c>
      <c r="C8" s="4">
        <f>APRENDICES!C8</f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4.25" customHeight="1" x14ac:dyDescent="0.35">
      <c r="A9" s="7">
        <f>APRENDICES!A9</f>
        <v>8</v>
      </c>
      <c r="B9" s="7">
        <f>APRENDICES!B9</f>
        <v>0</v>
      </c>
      <c r="C9" s="4">
        <f>APRENDICES!C9</f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4.25" customHeight="1" x14ac:dyDescent="0.35">
      <c r="A10" s="7">
        <f>APRENDICES!A10</f>
        <v>9</v>
      </c>
      <c r="B10" s="7">
        <f>APRENDICES!B10</f>
        <v>0</v>
      </c>
      <c r="C10" s="4">
        <f>APRENDICES!C10</f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4.25" customHeight="1" x14ac:dyDescent="0.35">
      <c r="A11" s="7">
        <f>APRENDICES!A11</f>
        <v>10</v>
      </c>
      <c r="B11" s="7">
        <f>APRENDICES!B11</f>
        <v>0</v>
      </c>
      <c r="C11" s="4">
        <f>APRENDICES!C11</f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4.25" customHeight="1" x14ac:dyDescent="0.35">
      <c r="A12" s="7">
        <f>APRENDICES!A12</f>
        <v>11</v>
      </c>
      <c r="B12" s="7">
        <f>APRENDICES!B12</f>
        <v>0</v>
      </c>
      <c r="C12" s="4">
        <f>APRENDICES!C12</f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4.25" customHeight="1" x14ac:dyDescent="0.35">
      <c r="A13" s="7">
        <f>APRENDICES!A13</f>
        <v>12</v>
      </c>
      <c r="B13" s="7">
        <f>APRENDICES!B13</f>
        <v>0</v>
      </c>
      <c r="C13" s="4">
        <f>APRENDICES!C13</f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4.25" customHeight="1" x14ac:dyDescent="0.35">
      <c r="A14" s="7">
        <f>APRENDICES!A14</f>
        <v>13</v>
      </c>
      <c r="B14" s="7">
        <f>APRENDICES!B14</f>
        <v>0</v>
      </c>
      <c r="C14" s="4">
        <f>APRENDICES!C14</f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4.25" customHeight="1" x14ac:dyDescent="0.35">
      <c r="A15" s="7">
        <f>APRENDICES!A15</f>
        <v>14</v>
      </c>
      <c r="B15" s="7">
        <f>APRENDICES!B15</f>
        <v>0</v>
      </c>
      <c r="C15" s="4">
        <f>APRENDICES!C15</f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4.25" customHeight="1" x14ac:dyDescent="0.35">
      <c r="A16" s="7">
        <f>APRENDICES!A16</f>
        <v>15</v>
      </c>
      <c r="B16" s="7">
        <f>APRENDICES!B16</f>
        <v>0</v>
      </c>
      <c r="C16" s="4">
        <f>APRENDICES!C16</f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4.25" customHeight="1" x14ac:dyDescent="0.35">
      <c r="A17" s="7">
        <f>APRENDICES!A17</f>
        <v>16</v>
      </c>
      <c r="B17" s="7">
        <f>APRENDICES!B17</f>
        <v>0</v>
      </c>
      <c r="C17" s="4">
        <f>APRENDICES!C17</f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4.25" customHeight="1" x14ac:dyDescent="0.35">
      <c r="A18" s="7">
        <f>APRENDICES!A18</f>
        <v>17</v>
      </c>
      <c r="B18" s="7">
        <f>APRENDICES!B18</f>
        <v>0</v>
      </c>
      <c r="C18" s="4">
        <f>APRENDICES!C18</f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4.25" customHeight="1" x14ac:dyDescent="0.35">
      <c r="A19" s="7">
        <f>APRENDICES!A19</f>
        <v>18</v>
      </c>
      <c r="B19" s="7">
        <f>APRENDICES!B19</f>
        <v>0</v>
      </c>
      <c r="C19" s="4">
        <f>APRENDICES!C19</f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4.25" customHeight="1" x14ac:dyDescent="0.35">
      <c r="A20" s="7">
        <f>APRENDICES!A20</f>
        <v>19</v>
      </c>
      <c r="B20" s="7">
        <f>APRENDICES!B20</f>
        <v>0</v>
      </c>
      <c r="C20" s="4">
        <f>APRENDICES!C20</f>
        <v>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4.25" customHeight="1" x14ac:dyDescent="0.35">
      <c r="A21" s="7">
        <f>APRENDICES!A21</f>
        <v>20</v>
      </c>
      <c r="B21" s="7">
        <f>APRENDICES!B21</f>
        <v>0</v>
      </c>
      <c r="C21" s="4">
        <f>APRENDICES!C21</f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4.25" customHeight="1" x14ac:dyDescent="0.35">
      <c r="A22" s="7">
        <f>APRENDICES!A22</f>
        <v>21</v>
      </c>
      <c r="B22" s="7">
        <f>APRENDICES!B22</f>
        <v>0</v>
      </c>
      <c r="C22" s="4">
        <f>APRENDICES!C22</f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4.25" customHeight="1" x14ac:dyDescent="0.35">
      <c r="A23" s="7">
        <f>APRENDICES!A23</f>
        <v>22</v>
      </c>
      <c r="B23" s="7">
        <f>APRENDICES!B23</f>
        <v>0</v>
      </c>
      <c r="C23" s="4">
        <f>APRENDICES!C23</f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4.25" customHeight="1" x14ac:dyDescent="0.35">
      <c r="A24" s="7">
        <f>APRENDICES!A24</f>
        <v>23</v>
      </c>
      <c r="B24" s="7">
        <f>APRENDICES!B24</f>
        <v>0</v>
      </c>
      <c r="C24" s="4">
        <f>APRENDICES!C24</f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4.25" customHeight="1" x14ac:dyDescent="0.35">
      <c r="A25" s="7">
        <f>APRENDICES!A25</f>
        <v>24</v>
      </c>
      <c r="B25" s="7">
        <f>APRENDICES!B25</f>
        <v>0</v>
      </c>
      <c r="C25" s="4">
        <f>APRENDICES!C25</f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4.25" customHeight="1" x14ac:dyDescent="0.35">
      <c r="A26" s="7">
        <f>APRENDICES!A26</f>
        <v>25</v>
      </c>
      <c r="B26" s="7">
        <f>APRENDICES!B26</f>
        <v>0</v>
      </c>
      <c r="C26" s="4">
        <f>APRENDICES!C26</f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4.25" customHeight="1" x14ac:dyDescent="0.35">
      <c r="A27" s="7">
        <f>APRENDICES!A27</f>
        <v>26</v>
      </c>
      <c r="B27" s="7">
        <f>APRENDICES!B27</f>
        <v>0</v>
      </c>
      <c r="C27" s="4">
        <f>APRENDICES!C27</f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4.25" customHeight="1" x14ac:dyDescent="0.35">
      <c r="A28" s="7">
        <f>APRENDICES!A28</f>
        <v>27</v>
      </c>
      <c r="B28" s="7">
        <f>APRENDICES!B28</f>
        <v>0</v>
      </c>
      <c r="C28" s="4">
        <f>APRENDICES!C28</f>
        <v>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4.25" customHeight="1" x14ac:dyDescent="0.35">
      <c r="A29" s="7">
        <f>APRENDICES!A29</f>
        <v>28</v>
      </c>
      <c r="B29" s="7">
        <f>APRENDICES!B29</f>
        <v>0</v>
      </c>
      <c r="C29" s="4">
        <f>APRENDICES!C29</f>
        <v>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4.25" customHeight="1" x14ac:dyDescent="0.35">
      <c r="A30" s="7">
        <f>APRENDICES!A30</f>
        <v>29</v>
      </c>
      <c r="B30" s="7">
        <f>APRENDICES!B30</f>
        <v>0</v>
      </c>
      <c r="C30" s="4">
        <f>APRENDICES!C30</f>
        <v>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4.25" customHeight="1" x14ac:dyDescent="0.35">
      <c r="A31" s="7">
        <f>APRENDICES!A31</f>
        <v>30</v>
      </c>
      <c r="B31" s="7">
        <f>APRENDICES!B31</f>
        <v>0</v>
      </c>
      <c r="C31" s="4">
        <f>APRENDICES!C31</f>
        <v>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4.25" customHeight="1" x14ac:dyDescent="0.35">
      <c r="A32" s="7">
        <f>APRENDICES!A32</f>
        <v>31</v>
      </c>
      <c r="B32" s="7">
        <f>APRENDICES!B32</f>
        <v>0</v>
      </c>
      <c r="C32" s="4">
        <f>APRENDICES!C32</f>
        <v>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4.25" customHeight="1" x14ac:dyDescent="0.35">
      <c r="A33" s="7">
        <f>APRENDICES!A33</f>
        <v>32</v>
      </c>
      <c r="B33" s="7">
        <f>APRENDICES!B33</f>
        <v>0</v>
      </c>
      <c r="C33" s="4">
        <f>APRENDICES!C33</f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4.25" customHeight="1" x14ac:dyDescent="0.35">
      <c r="A34" s="7">
        <f>APRENDICES!A34</f>
        <v>33</v>
      </c>
      <c r="B34" s="7">
        <f>APRENDICES!B34</f>
        <v>0</v>
      </c>
      <c r="C34" s="4">
        <f>APRENDICES!C34</f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4.25" customHeight="1" x14ac:dyDescent="0.35">
      <c r="A35" s="7">
        <f>APRENDICES!A35</f>
        <v>34</v>
      </c>
      <c r="B35" s="7">
        <f>APRENDICES!B35</f>
        <v>0</v>
      </c>
      <c r="C35" s="4">
        <f>APRENDICES!C35</f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4.25" customHeight="1" x14ac:dyDescent="0.35">
      <c r="A36" s="7">
        <f>APRENDICES!A36</f>
        <v>35</v>
      </c>
      <c r="B36" s="7">
        <f>APRENDICES!B36</f>
        <v>0</v>
      </c>
      <c r="C36" s="4">
        <f>APRENDICES!C36</f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4.25" customHeight="1" x14ac:dyDescent="0.35">
      <c r="A37" s="7">
        <f>APRENDICES!A37</f>
        <v>36</v>
      </c>
      <c r="B37" s="7">
        <f>APRENDICES!B37</f>
        <v>0</v>
      </c>
      <c r="C37" s="4">
        <f>APRENDICES!C37</f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4.25" customHeight="1" x14ac:dyDescent="0.35">
      <c r="A38" s="7">
        <f>APRENDICES!A38</f>
        <v>37</v>
      </c>
      <c r="B38" s="7">
        <f>APRENDICES!B38</f>
        <v>0</v>
      </c>
      <c r="C38" s="4">
        <f>APRENDICES!C38</f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4.25" customHeight="1" x14ac:dyDescent="0.35">
      <c r="A39" s="7">
        <f>APRENDICES!A39</f>
        <v>38</v>
      </c>
      <c r="B39" s="7">
        <f>APRENDICES!B39</f>
        <v>0</v>
      </c>
      <c r="C39" s="4">
        <f>APRENDICES!C39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4.25" customHeight="1" x14ac:dyDescent="0.35">
      <c r="A40" s="7">
        <f>APRENDICES!A40</f>
        <v>39</v>
      </c>
      <c r="B40" s="7">
        <f>APRENDICES!B40</f>
        <v>0</v>
      </c>
      <c r="C40" s="4">
        <f>APRENDICES!C40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4.25" customHeight="1" x14ac:dyDescent="0.35">
      <c r="A41" s="7">
        <f>APRENDICES!A41</f>
        <v>40</v>
      </c>
      <c r="B41" s="7">
        <f>APRENDICES!B41</f>
        <v>0</v>
      </c>
      <c r="C41" s="4">
        <f>APRENDICES!C41</f>
        <v>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APRENDICES!$E2="EN PROCESO DE DESERCIÓN"</xm:f>
            <x14:dxf>
              <font>
                <color rgb="FFFF0000"/>
              </font>
            </x14:dxf>
          </x14:cfRule>
          <x14:cfRule type="expression" priority="3" id="{00000000-000E-0000-0200-000003000000}">
            <xm:f>OR(APRENDICES!$E2="CANCELADO",APRENDICES!$E2="TRASLADADO",APRENDICES!$E2="APLAZADO")</xm:f>
            <x14:dxf>
              <font>
                <color rgb="FF0000FF"/>
              </font>
            </x14:dxf>
          </x14:cfRule>
          <x14:cfRule type="expression" priority="4" id="{00000000-000E-0000-0200-000004000000}">
            <xm:f>OR(APRENDICES!$E2="CONDICIONADO",APRENDICES!$E2="REPORTADO A COMITÉ",APRENDICES!$E2="RETIRO VOLUNTARIO")</xm:f>
            <x14:dxf>
              <font>
                <color rgb="FFE65100"/>
              </font>
            </x14:dxf>
          </x14:cfRule>
          <xm:sqref>A2:W41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5" customWidth="1"/>
    <col min="2" max="2" width="14" customWidth="1"/>
    <col min="3" max="3" width="38" customWidth="1"/>
    <col min="4" max="23" width="12" customWidth="1"/>
  </cols>
  <sheetData>
    <row r="1" spans="1:23" ht="14.25" customHeight="1" x14ac:dyDescent="0.35">
      <c r="A1" s="6" t="s">
        <v>54</v>
      </c>
      <c r="B1" s="6" t="s">
        <v>55</v>
      </c>
      <c r="C1" s="6" t="s">
        <v>56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25" customHeight="1" x14ac:dyDescent="0.35">
      <c r="A2" s="7">
        <f>APRENDICES!A2</f>
        <v>1</v>
      </c>
      <c r="B2" s="7">
        <f>APRENDICES!B2</f>
        <v>0</v>
      </c>
      <c r="C2" s="4">
        <f>APRENDICES!C2</f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4.25" customHeight="1" x14ac:dyDescent="0.35">
      <c r="A3" s="7">
        <f>APRENDICES!A3</f>
        <v>2</v>
      </c>
      <c r="B3" s="7">
        <f>APRENDICES!B3</f>
        <v>0</v>
      </c>
      <c r="C3" s="4">
        <f>APRENDICES!C3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4.25" customHeight="1" x14ac:dyDescent="0.35">
      <c r="A4" s="7">
        <f>APRENDICES!A4</f>
        <v>3</v>
      </c>
      <c r="B4" s="7">
        <f>APRENDICES!B4</f>
        <v>0</v>
      </c>
      <c r="C4" s="4">
        <f>APRENDICES!C4</f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4.25" customHeight="1" x14ac:dyDescent="0.35">
      <c r="A5" s="7">
        <f>APRENDICES!A5</f>
        <v>4</v>
      </c>
      <c r="B5" s="7">
        <f>APRENDICES!B5</f>
        <v>0</v>
      </c>
      <c r="C5" s="4">
        <f>APRENDICES!C5</f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4.25" customHeight="1" x14ac:dyDescent="0.35">
      <c r="A6" s="7">
        <f>APRENDICES!A6</f>
        <v>5</v>
      </c>
      <c r="B6" s="7">
        <f>APRENDICES!B6</f>
        <v>0</v>
      </c>
      <c r="C6" s="4">
        <f>APRENDICES!C6</f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4.25" customHeight="1" x14ac:dyDescent="0.35">
      <c r="A7" s="7">
        <f>APRENDICES!A7</f>
        <v>6</v>
      </c>
      <c r="B7" s="7">
        <f>APRENDICES!B7</f>
        <v>0</v>
      </c>
      <c r="C7" s="4">
        <f>APRENDICES!C7</f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4.25" customHeight="1" x14ac:dyDescent="0.35">
      <c r="A8" s="7">
        <f>APRENDICES!A8</f>
        <v>7</v>
      </c>
      <c r="B8" s="7">
        <f>APRENDICES!B8</f>
        <v>0</v>
      </c>
      <c r="C8" s="4">
        <f>APRENDICES!C8</f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4.25" customHeight="1" x14ac:dyDescent="0.35">
      <c r="A9" s="7">
        <f>APRENDICES!A9</f>
        <v>8</v>
      </c>
      <c r="B9" s="7">
        <f>APRENDICES!B9</f>
        <v>0</v>
      </c>
      <c r="C9" s="4">
        <f>APRENDICES!C9</f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4.25" customHeight="1" x14ac:dyDescent="0.35">
      <c r="A10" s="7">
        <f>APRENDICES!A10</f>
        <v>9</v>
      </c>
      <c r="B10" s="7">
        <f>APRENDICES!B10</f>
        <v>0</v>
      </c>
      <c r="C10" s="4">
        <f>APRENDICES!C10</f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4.25" customHeight="1" x14ac:dyDescent="0.35">
      <c r="A11" s="7">
        <f>APRENDICES!A11</f>
        <v>10</v>
      </c>
      <c r="B11" s="7">
        <f>APRENDICES!B11</f>
        <v>0</v>
      </c>
      <c r="C11" s="4">
        <f>APRENDICES!C11</f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4.25" customHeight="1" x14ac:dyDescent="0.35">
      <c r="A12" s="7">
        <f>APRENDICES!A12</f>
        <v>11</v>
      </c>
      <c r="B12" s="7">
        <f>APRENDICES!B12</f>
        <v>0</v>
      </c>
      <c r="C12" s="4">
        <f>APRENDICES!C12</f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4.25" customHeight="1" x14ac:dyDescent="0.35">
      <c r="A13" s="7">
        <f>APRENDICES!A13</f>
        <v>12</v>
      </c>
      <c r="B13" s="7">
        <f>APRENDICES!B13</f>
        <v>0</v>
      </c>
      <c r="C13" s="4">
        <f>APRENDICES!C13</f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4.25" customHeight="1" x14ac:dyDescent="0.35">
      <c r="A14" s="7">
        <f>APRENDICES!A14</f>
        <v>13</v>
      </c>
      <c r="B14" s="7">
        <f>APRENDICES!B14</f>
        <v>0</v>
      </c>
      <c r="C14" s="4">
        <f>APRENDICES!C14</f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4.25" customHeight="1" x14ac:dyDescent="0.35">
      <c r="A15" s="7">
        <f>APRENDICES!A15</f>
        <v>14</v>
      </c>
      <c r="B15" s="7">
        <f>APRENDICES!B15</f>
        <v>0</v>
      </c>
      <c r="C15" s="4">
        <f>APRENDICES!C15</f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4.25" customHeight="1" x14ac:dyDescent="0.35">
      <c r="A16" s="7">
        <f>APRENDICES!A16</f>
        <v>15</v>
      </c>
      <c r="B16" s="7">
        <f>APRENDICES!B16</f>
        <v>0</v>
      </c>
      <c r="C16" s="4">
        <f>APRENDICES!C16</f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14.25" customHeight="1" x14ac:dyDescent="0.35">
      <c r="A17" s="7">
        <f>APRENDICES!A17</f>
        <v>16</v>
      </c>
      <c r="B17" s="7">
        <f>APRENDICES!B17</f>
        <v>0</v>
      </c>
      <c r="C17" s="4">
        <f>APRENDICES!C17</f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14.25" customHeight="1" x14ac:dyDescent="0.35">
      <c r="A18" s="7">
        <f>APRENDICES!A18</f>
        <v>17</v>
      </c>
      <c r="B18" s="7">
        <f>APRENDICES!B18</f>
        <v>0</v>
      </c>
      <c r="C18" s="4">
        <f>APRENDICES!C18</f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14.25" customHeight="1" x14ac:dyDescent="0.35">
      <c r="A19" s="7">
        <f>APRENDICES!A19</f>
        <v>18</v>
      </c>
      <c r="B19" s="7">
        <f>APRENDICES!B19</f>
        <v>0</v>
      </c>
      <c r="C19" s="4">
        <f>APRENDICES!C19</f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14.25" customHeight="1" x14ac:dyDescent="0.35">
      <c r="A20" s="7">
        <f>APRENDICES!A20</f>
        <v>19</v>
      </c>
      <c r="B20" s="7">
        <f>APRENDICES!B20</f>
        <v>0</v>
      </c>
      <c r="C20" s="4">
        <f>APRENDICES!C20</f>
        <v>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14.25" customHeight="1" x14ac:dyDescent="0.35">
      <c r="A21" s="7">
        <f>APRENDICES!A21</f>
        <v>20</v>
      </c>
      <c r="B21" s="7">
        <f>APRENDICES!B21</f>
        <v>0</v>
      </c>
      <c r="C21" s="4">
        <f>APRENDICES!C21</f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14.25" customHeight="1" x14ac:dyDescent="0.35">
      <c r="A22" s="7">
        <f>APRENDICES!A22</f>
        <v>21</v>
      </c>
      <c r="B22" s="7">
        <f>APRENDICES!B22</f>
        <v>0</v>
      </c>
      <c r="C22" s="4">
        <f>APRENDICES!C22</f>
        <v>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14.25" customHeight="1" x14ac:dyDescent="0.35">
      <c r="A23" s="7">
        <f>APRENDICES!A23</f>
        <v>22</v>
      </c>
      <c r="B23" s="7">
        <f>APRENDICES!B23</f>
        <v>0</v>
      </c>
      <c r="C23" s="4">
        <f>APRENDICES!C23</f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4.25" customHeight="1" x14ac:dyDescent="0.35">
      <c r="A24" s="7">
        <f>APRENDICES!A24</f>
        <v>23</v>
      </c>
      <c r="B24" s="7">
        <f>APRENDICES!B24</f>
        <v>0</v>
      </c>
      <c r="C24" s="4">
        <f>APRENDICES!C24</f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14.25" customHeight="1" x14ac:dyDescent="0.35">
      <c r="A25" s="7">
        <f>APRENDICES!A25</f>
        <v>24</v>
      </c>
      <c r="B25" s="7">
        <f>APRENDICES!B25</f>
        <v>0</v>
      </c>
      <c r="C25" s="4">
        <f>APRENDICES!C25</f>
        <v>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4.25" customHeight="1" x14ac:dyDescent="0.35">
      <c r="A26" s="7">
        <f>APRENDICES!A26</f>
        <v>25</v>
      </c>
      <c r="B26" s="7">
        <f>APRENDICES!B26</f>
        <v>0</v>
      </c>
      <c r="C26" s="4">
        <f>APRENDICES!C26</f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4.25" customHeight="1" x14ac:dyDescent="0.35">
      <c r="A27" s="7">
        <f>APRENDICES!A27</f>
        <v>26</v>
      </c>
      <c r="B27" s="7">
        <f>APRENDICES!B27</f>
        <v>0</v>
      </c>
      <c r="C27" s="4">
        <f>APRENDICES!C27</f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4.25" customHeight="1" x14ac:dyDescent="0.35">
      <c r="A28" s="7">
        <f>APRENDICES!A28</f>
        <v>27</v>
      </c>
      <c r="B28" s="7">
        <f>APRENDICES!B28</f>
        <v>0</v>
      </c>
      <c r="C28" s="4">
        <f>APRENDICES!C28</f>
        <v>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4.25" customHeight="1" x14ac:dyDescent="0.35">
      <c r="A29" s="7">
        <f>APRENDICES!A29</f>
        <v>28</v>
      </c>
      <c r="B29" s="7">
        <f>APRENDICES!B29</f>
        <v>0</v>
      </c>
      <c r="C29" s="4">
        <f>APRENDICES!C29</f>
        <v>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4.25" customHeight="1" x14ac:dyDescent="0.35">
      <c r="A30" s="7">
        <f>APRENDICES!A30</f>
        <v>29</v>
      </c>
      <c r="B30" s="7">
        <f>APRENDICES!B30</f>
        <v>0</v>
      </c>
      <c r="C30" s="4">
        <f>APRENDICES!C30</f>
        <v>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4.25" customHeight="1" x14ac:dyDescent="0.35">
      <c r="A31" s="7">
        <f>APRENDICES!A31</f>
        <v>30</v>
      </c>
      <c r="B31" s="7">
        <f>APRENDICES!B31</f>
        <v>0</v>
      </c>
      <c r="C31" s="4">
        <f>APRENDICES!C31</f>
        <v>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4.25" customHeight="1" x14ac:dyDescent="0.35">
      <c r="A32" s="7">
        <f>APRENDICES!A32</f>
        <v>31</v>
      </c>
      <c r="B32" s="7">
        <f>APRENDICES!B32</f>
        <v>0</v>
      </c>
      <c r="C32" s="4">
        <f>APRENDICES!C32</f>
        <v>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4.25" customHeight="1" x14ac:dyDescent="0.35">
      <c r="A33" s="7">
        <f>APRENDICES!A33</f>
        <v>32</v>
      </c>
      <c r="B33" s="7">
        <f>APRENDICES!B33</f>
        <v>0</v>
      </c>
      <c r="C33" s="4">
        <f>APRENDICES!C33</f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4.25" customHeight="1" x14ac:dyDescent="0.35">
      <c r="A34" s="7">
        <f>APRENDICES!A34</f>
        <v>33</v>
      </c>
      <c r="B34" s="7">
        <f>APRENDICES!B34</f>
        <v>0</v>
      </c>
      <c r="C34" s="4">
        <f>APRENDICES!C34</f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4.25" customHeight="1" x14ac:dyDescent="0.35">
      <c r="A35" s="7">
        <f>APRENDICES!A35</f>
        <v>34</v>
      </c>
      <c r="B35" s="7">
        <f>APRENDICES!B35</f>
        <v>0</v>
      </c>
      <c r="C35" s="4">
        <f>APRENDICES!C35</f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4.25" customHeight="1" x14ac:dyDescent="0.35">
      <c r="A36" s="7">
        <f>APRENDICES!A36</f>
        <v>35</v>
      </c>
      <c r="B36" s="7">
        <f>APRENDICES!B36</f>
        <v>0</v>
      </c>
      <c r="C36" s="4">
        <f>APRENDICES!C36</f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4.25" customHeight="1" x14ac:dyDescent="0.35">
      <c r="A37" s="7">
        <f>APRENDICES!A37</f>
        <v>36</v>
      </c>
      <c r="B37" s="7">
        <f>APRENDICES!B37</f>
        <v>0</v>
      </c>
      <c r="C37" s="4">
        <f>APRENDICES!C37</f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4.25" customHeight="1" x14ac:dyDescent="0.35">
      <c r="A38" s="7">
        <f>APRENDICES!A38</f>
        <v>37</v>
      </c>
      <c r="B38" s="7">
        <f>APRENDICES!B38</f>
        <v>0</v>
      </c>
      <c r="C38" s="4">
        <f>APRENDICES!C38</f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4.25" customHeight="1" x14ac:dyDescent="0.35">
      <c r="A39" s="7">
        <f>APRENDICES!A39</f>
        <v>38</v>
      </c>
      <c r="B39" s="7">
        <f>APRENDICES!B39</f>
        <v>0</v>
      </c>
      <c r="C39" s="4">
        <f>APRENDICES!C39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4.25" customHeight="1" x14ac:dyDescent="0.35">
      <c r="A40" s="7">
        <f>APRENDICES!A40</f>
        <v>39</v>
      </c>
      <c r="B40" s="7">
        <f>APRENDICES!B40</f>
        <v>0</v>
      </c>
      <c r="C40" s="4">
        <f>APRENDICES!C40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4.25" customHeight="1" x14ac:dyDescent="0.35">
      <c r="A41" s="7">
        <f>APRENDICES!A41</f>
        <v>40</v>
      </c>
      <c r="B41" s="7">
        <f>APRENDICES!B41</f>
        <v>0</v>
      </c>
      <c r="C41" s="4">
        <f>APRENDICES!C41</f>
        <v>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APRENDICES!$E2="EN PROCESO DE DESERCIÓN"</xm:f>
            <x14:dxf>
              <font>
                <color rgb="FFFF0000"/>
              </font>
            </x14:dxf>
          </x14:cfRule>
          <x14:cfRule type="expression" priority="3" id="{00000000-000E-0000-0300-000003000000}">
            <xm:f>OR(APRENDICES!$E2="CANCELADO",APRENDICES!$E2="TRASLADADO",APRENDICES!$E2="APLAZADO")</xm:f>
            <x14:dxf>
              <font>
                <color rgb="FF0000FF"/>
              </font>
            </x14:dxf>
          </x14:cfRule>
          <x14:cfRule type="expression" priority="4" id="{00000000-000E-0000-0300-000004000000}">
            <xm:f>OR(APRENDICES!$E2="CONDICIONADO",APRENDICES!$E2="REPORTADO A COMITÉ",APRENDICES!$E2="RETIRO VOLUNTARIO")</xm:f>
            <x14:dxf>
              <font>
                <color rgb="FFE65100"/>
              </font>
            </x14:dxf>
          </x14:cfRule>
          <xm:sqref>A2:W41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5" customWidth="1"/>
    <col min="2" max="2" width="14" customWidth="1"/>
    <col min="3" max="3" width="36" customWidth="1"/>
    <col min="4" max="4" width="30" customWidth="1"/>
    <col min="5" max="5" width="12" customWidth="1"/>
    <col min="6" max="6" width="14" customWidth="1"/>
    <col min="7" max="8" width="12" customWidth="1"/>
    <col min="9" max="9" width="15" customWidth="1"/>
    <col min="10" max="10" width="14" customWidth="1"/>
    <col min="11" max="11" width="13" customWidth="1"/>
    <col min="12" max="12" width="16" customWidth="1"/>
    <col min="13" max="13" width="12" customWidth="1"/>
    <col min="14" max="14" width="34" customWidth="1"/>
    <col min="15" max="15" width="40" customWidth="1"/>
  </cols>
  <sheetData>
    <row r="1" spans="1:15" ht="51.75" customHeight="1" x14ac:dyDescent="0.35">
      <c r="A1" s="6" t="s">
        <v>54</v>
      </c>
      <c r="B1" s="6" t="s">
        <v>55</v>
      </c>
      <c r="C1" s="6" t="s">
        <v>56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  <c r="L1" s="6" t="s">
        <v>69</v>
      </c>
      <c r="M1" s="6" t="s">
        <v>70</v>
      </c>
      <c r="N1" s="6" t="s">
        <v>71</v>
      </c>
      <c r="O1" s="6" t="s">
        <v>72</v>
      </c>
    </row>
    <row r="2" spans="1:15" ht="14.25" customHeight="1" x14ac:dyDescent="0.35">
      <c r="A2" s="7">
        <f>APRENDICES!A2</f>
        <v>1</v>
      </c>
      <c r="B2" s="7">
        <f>APRENDICES!B2</f>
        <v>0</v>
      </c>
      <c r="C2" s="4">
        <f>APRENDICES!C2</f>
        <v>0</v>
      </c>
      <c r="D2" s="7">
        <f>APRENDICES!D2</f>
        <v>0</v>
      </c>
      <c r="E2" s="7">
        <f>COUNTIF(ASISTENCIA!D2:W2,"X")</f>
        <v>0</v>
      </c>
      <c r="F2" s="7">
        <f>COUNTIF(ASISTENCIA!D2:W2,0)</f>
        <v>0</v>
      </c>
      <c r="G2" s="7">
        <f>COUNTIF(ASISTENCIA!D2:W2,"E")</f>
        <v>0</v>
      </c>
      <c r="H2" s="7">
        <f>COUNTIF(ASISTENCIA!D2:W2,"R")</f>
        <v>0</v>
      </c>
      <c r="I2" s="7">
        <f>SUMPRODUCT((((((ASISTENCIA!D2:W2)="X")+((ASISTENCIA!D2:W2)="R")))*((NOTAS!$D$1:$W$1)&lt;&gt;"")*((NOTAS!D2:W2)="")))</f>
        <v>0</v>
      </c>
      <c r="J2" s="7">
        <f>SUMPRODUCT((ISNUMBER(NOTAS!D2:W2)*((NOTAS!D2:W2)&gt;=1)*((NOTAS!D2:W2)&lt;PARAMETROS!$B$13)))</f>
        <v>0</v>
      </c>
      <c r="K2" s="7">
        <f>SUMPRODUCT(--((((((ASISTENCIA!D2:W2)&lt;&gt;"")*((ASISTENCIA!D2:W2)=0)))+((((((ASISTENCIA!D2:W2)="X")+((ASISTENCIA!D2:W2)="R")))*((NOTAS!$D$1:$W$1)&lt;&gt;"")*((NOTAS!D2:W2)="")))+((ISNUMBER(NOTAS!D2:W2)*((NOTAS!D2:W2)&gt;=1)*((NOTAS!D2:W2)&lt;PARAMETROS!$B$13))))&gt;0))</f>
        <v>0</v>
      </c>
      <c r="L2" s="7">
        <f>K2+INT(H2/PARAMETROS!$B$14)</f>
        <v>0</v>
      </c>
      <c r="M2" s="7" t="str">
        <f t="shared" ref="M2:M41" si="0">IF(L2&gt;0,"SI","NO")</f>
        <v>NO</v>
      </c>
      <c r="N2" s="4" t="str">
        <f t="shared" ref="N2:N41" si="1">IF(L2&gt;0,"GENERAR ACTA (tipo según registro del generador)","SIN NOVEDAD")</f>
        <v>SIN NOVEDAD</v>
      </c>
      <c r="O2" s="4" t="str">
        <f t="array" ref="O2">_xlfn.TEXTJOIN(", ",TRUE(),IF(((((((ASISTENCIA!D2:W2)&lt;&gt;"")*((ASISTENCIA!D2:W2)=0)))+((((((ASISTENCIA!D2:W2)="X")+((ASISTENCIA!D2:W2)="R")))*((NOTAS!$D$1:$W$1)&lt;&gt;"")*((NOTAS!D2:W2)="")))+((ISNUMBER(NOTAS!D2:W2)*((NOTAS!D2:W2)&gt;=1)*((NOTAS!D2:W2)&lt;PARAMETROS!$B$13))))&gt;0),TEXT(ASISTENCIA!$D$1:$W$1,"DD/MM/YYYY"),""))</f>
        <v/>
      </c>
    </row>
    <row r="3" spans="1:15" ht="14.25" customHeight="1" x14ac:dyDescent="0.35">
      <c r="A3" s="7">
        <f>APRENDICES!A3</f>
        <v>2</v>
      </c>
      <c r="B3" s="7">
        <f>APRENDICES!B3</f>
        <v>0</v>
      </c>
      <c r="C3" s="4">
        <f>APRENDICES!C3</f>
        <v>0</v>
      </c>
      <c r="D3" s="7">
        <f>APRENDICES!D3</f>
        <v>0</v>
      </c>
      <c r="E3" s="7">
        <f>COUNTIF(ASISTENCIA!D3:W3,"X")</f>
        <v>0</v>
      </c>
      <c r="F3" s="7">
        <f>COUNTIF(ASISTENCIA!D3:W3,0)</f>
        <v>0</v>
      </c>
      <c r="G3" s="7">
        <f>COUNTIF(ASISTENCIA!D3:W3,"E")</f>
        <v>0</v>
      </c>
      <c r="H3" s="7">
        <f>COUNTIF(ASISTENCIA!D3:W3,"R")</f>
        <v>0</v>
      </c>
      <c r="I3" s="7">
        <f>SUMPRODUCT((((((ASISTENCIA!D3:W3)="X")+((ASISTENCIA!D3:W3)="R")))*((NOTAS!$D$1:$W$1)&lt;&gt;"")*((NOTAS!D3:W3)="")))</f>
        <v>0</v>
      </c>
      <c r="J3" s="7">
        <f>SUMPRODUCT((ISNUMBER(NOTAS!D3:W3)*((NOTAS!D3:W3)&gt;=1)*((NOTAS!D3:W3)&lt;PARAMETROS!$B$13)))</f>
        <v>0</v>
      </c>
      <c r="K3" s="7">
        <f>SUMPRODUCT(--((((((ASISTENCIA!D3:W3)&lt;&gt;"")*((ASISTENCIA!D3:W3)=0)))+((((((ASISTENCIA!D3:W3)="X")+((ASISTENCIA!D3:W3)="R")))*((NOTAS!$D$1:$W$1)&lt;&gt;"")*((NOTAS!D3:W3)="")))+((ISNUMBER(NOTAS!D3:W3)*((NOTAS!D3:W3)&gt;=1)*((NOTAS!D3:W3)&lt;PARAMETROS!$B$13))))&gt;0))</f>
        <v>0</v>
      </c>
      <c r="L3" s="7">
        <f>K3+INT(H3/PARAMETROS!$B$14)</f>
        <v>0</v>
      </c>
      <c r="M3" s="7" t="str">
        <f t="shared" si="0"/>
        <v>NO</v>
      </c>
      <c r="N3" s="4" t="str">
        <f t="shared" si="1"/>
        <v>SIN NOVEDAD</v>
      </c>
      <c r="O3" s="4" t="str">
        <f t="array" ref="O3">_xlfn.TEXTJOIN(", ",TRUE(),IF(((((((ASISTENCIA!D3:W3)&lt;&gt;"")*((ASISTENCIA!D3:W3)=0)))+((((((ASISTENCIA!D3:W3)="X")+((ASISTENCIA!D3:W3)="R")))*((NOTAS!$D$1:$W$1)&lt;&gt;"")*((NOTAS!D3:W3)="")))+((ISNUMBER(NOTAS!D3:W3)*((NOTAS!D3:W3)&gt;=1)*((NOTAS!D3:W3)&lt;PARAMETROS!$B$13))))&gt;0),TEXT(ASISTENCIA!$D$1:$W$1,"DD/MM/YYYY"),""))</f>
        <v/>
      </c>
    </row>
    <row r="4" spans="1:15" ht="14.25" customHeight="1" x14ac:dyDescent="0.35">
      <c r="A4" s="7">
        <f>APRENDICES!A4</f>
        <v>3</v>
      </c>
      <c r="B4" s="7">
        <f>APRENDICES!B4</f>
        <v>0</v>
      </c>
      <c r="C4" s="4">
        <f>APRENDICES!C4</f>
        <v>0</v>
      </c>
      <c r="D4" s="7">
        <f>APRENDICES!D4</f>
        <v>0</v>
      </c>
      <c r="E4" s="7">
        <f>COUNTIF(ASISTENCIA!D4:W4,"X")</f>
        <v>0</v>
      </c>
      <c r="F4" s="7">
        <f>COUNTIF(ASISTENCIA!D4:W4,0)</f>
        <v>0</v>
      </c>
      <c r="G4" s="7">
        <f>COUNTIF(ASISTENCIA!D4:W4,"E")</f>
        <v>0</v>
      </c>
      <c r="H4" s="7">
        <f>COUNTIF(ASISTENCIA!D4:W4,"R")</f>
        <v>0</v>
      </c>
      <c r="I4" s="7">
        <f>SUMPRODUCT((((((ASISTENCIA!D4:W4)="X")+((ASISTENCIA!D4:W4)="R")))*((NOTAS!$D$1:$W$1)&lt;&gt;"")*((NOTAS!D4:W4)="")))</f>
        <v>0</v>
      </c>
      <c r="J4" s="7">
        <f>SUMPRODUCT((ISNUMBER(NOTAS!D4:W4)*((NOTAS!D4:W4)&gt;=1)*((NOTAS!D4:W4)&lt;PARAMETROS!$B$13)))</f>
        <v>0</v>
      </c>
      <c r="K4" s="7">
        <f>SUMPRODUCT(--((((((ASISTENCIA!D4:W4)&lt;&gt;"")*((ASISTENCIA!D4:W4)=0)))+((((((ASISTENCIA!D4:W4)="X")+((ASISTENCIA!D4:W4)="R")))*((NOTAS!$D$1:$W$1)&lt;&gt;"")*((NOTAS!D4:W4)="")))+((ISNUMBER(NOTAS!D4:W4)*((NOTAS!D4:W4)&gt;=1)*((NOTAS!D4:W4)&lt;PARAMETROS!$B$13))))&gt;0))</f>
        <v>0</v>
      </c>
      <c r="L4" s="7">
        <f>K4+INT(H4/PARAMETROS!$B$14)</f>
        <v>0</v>
      </c>
      <c r="M4" s="7" t="str">
        <f t="shared" si="0"/>
        <v>NO</v>
      </c>
      <c r="N4" s="4" t="str">
        <f t="shared" si="1"/>
        <v>SIN NOVEDAD</v>
      </c>
      <c r="O4" s="4" t="str">
        <f t="array" ref="O4">_xlfn.TEXTJOIN(", ",TRUE(),IF(((((((ASISTENCIA!D4:W4)&lt;&gt;"")*((ASISTENCIA!D4:W4)=0)))+((((((ASISTENCIA!D4:W4)="X")+((ASISTENCIA!D4:W4)="R")))*((NOTAS!$D$1:$W$1)&lt;&gt;"")*((NOTAS!D4:W4)="")))+((ISNUMBER(NOTAS!D4:W4)*((NOTAS!D4:W4)&gt;=1)*((NOTAS!D4:W4)&lt;PARAMETROS!$B$13))))&gt;0),TEXT(ASISTENCIA!$D$1:$W$1,"DD/MM/YYYY"),""))</f>
        <v/>
      </c>
    </row>
    <row r="5" spans="1:15" ht="14.25" customHeight="1" x14ac:dyDescent="0.35">
      <c r="A5" s="7">
        <f>APRENDICES!A5</f>
        <v>4</v>
      </c>
      <c r="B5" s="7">
        <f>APRENDICES!B5</f>
        <v>0</v>
      </c>
      <c r="C5" s="4">
        <f>APRENDICES!C5</f>
        <v>0</v>
      </c>
      <c r="D5" s="7">
        <f>APRENDICES!D5</f>
        <v>0</v>
      </c>
      <c r="E5" s="7">
        <f>COUNTIF(ASISTENCIA!D5:W5,"X")</f>
        <v>0</v>
      </c>
      <c r="F5" s="7">
        <f>COUNTIF(ASISTENCIA!D5:W5,0)</f>
        <v>0</v>
      </c>
      <c r="G5" s="7">
        <f>COUNTIF(ASISTENCIA!D5:W5,"E")</f>
        <v>0</v>
      </c>
      <c r="H5" s="7">
        <f>COUNTIF(ASISTENCIA!D5:W5,"R")</f>
        <v>0</v>
      </c>
      <c r="I5" s="7">
        <f>SUMPRODUCT((((((ASISTENCIA!D5:W5)="X")+((ASISTENCIA!D5:W5)="R")))*((NOTAS!$D$1:$W$1)&lt;&gt;"")*((NOTAS!D5:W5)="")))</f>
        <v>0</v>
      </c>
      <c r="J5" s="7">
        <f>SUMPRODUCT((ISNUMBER(NOTAS!D5:W5)*((NOTAS!D5:W5)&gt;=1)*((NOTAS!D5:W5)&lt;PARAMETROS!$B$13)))</f>
        <v>0</v>
      </c>
      <c r="K5" s="7">
        <f>SUMPRODUCT(--((((((ASISTENCIA!D5:W5)&lt;&gt;"")*((ASISTENCIA!D5:W5)=0)))+((((((ASISTENCIA!D5:W5)="X")+((ASISTENCIA!D5:W5)="R")))*((NOTAS!$D$1:$W$1)&lt;&gt;"")*((NOTAS!D5:W5)="")))+((ISNUMBER(NOTAS!D5:W5)*((NOTAS!D5:W5)&gt;=1)*((NOTAS!D5:W5)&lt;PARAMETROS!$B$13))))&gt;0))</f>
        <v>0</v>
      </c>
      <c r="L5" s="7">
        <f>K5+INT(H5/PARAMETROS!$B$14)</f>
        <v>0</v>
      </c>
      <c r="M5" s="7" t="str">
        <f t="shared" si="0"/>
        <v>NO</v>
      </c>
      <c r="N5" s="4" t="str">
        <f t="shared" si="1"/>
        <v>SIN NOVEDAD</v>
      </c>
      <c r="O5" s="4" t="str">
        <f t="array" ref="O5">_xlfn.TEXTJOIN(", ",TRUE(),IF(((((((ASISTENCIA!D5:W5)&lt;&gt;"")*((ASISTENCIA!D5:W5)=0)))+((((((ASISTENCIA!D5:W5)="X")+((ASISTENCIA!D5:W5)="R")))*((NOTAS!$D$1:$W$1)&lt;&gt;"")*((NOTAS!D5:W5)="")))+((ISNUMBER(NOTAS!D5:W5)*((NOTAS!D5:W5)&gt;=1)*((NOTAS!D5:W5)&lt;PARAMETROS!$B$13))))&gt;0),TEXT(ASISTENCIA!$D$1:$W$1,"DD/MM/YYYY"),""))</f>
        <v/>
      </c>
    </row>
    <row r="6" spans="1:15" ht="14.25" customHeight="1" x14ac:dyDescent="0.35">
      <c r="A6" s="7">
        <f>APRENDICES!A6</f>
        <v>5</v>
      </c>
      <c r="B6" s="7">
        <f>APRENDICES!B6</f>
        <v>0</v>
      </c>
      <c r="C6" s="4">
        <f>APRENDICES!C6</f>
        <v>0</v>
      </c>
      <c r="D6" s="7">
        <f>APRENDICES!D6</f>
        <v>0</v>
      </c>
      <c r="E6" s="7">
        <f>COUNTIF(ASISTENCIA!D6:W6,"X")</f>
        <v>0</v>
      </c>
      <c r="F6" s="7">
        <f>COUNTIF(ASISTENCIA!D6:W6,0)</f>
        <v>0</v>
      </c>
      <c r="G6" s="7">
        <f>COUNTIF(ASISTENCIA!D6:W6,"E")</f>
        <v>0</v>
      </c>
      <c r="H6" s="7">
        <f>COUNTIF(ASISTENCIA!D6:W6,"R")</f>
        <v>0</v>
      </c>
      <c r="I6" s="7">
        <f>SUMPRODUCT((((((ASISTENCIA!D6:W6)="X")+((ASISTENCIA!D6:W6)="R")))*((NOTAS!$D$1:$W$1)&lt;&gt;"")*((NOTAS!D6:W6)="")))</f>
        <v>0</v>
      </c>
      <c r="J6" s="7">
        <f>SUMPRODUCT((ISNUMBER(NOTAS!D6:W6)*((NOTAS!D6:W6)&gt;=1)*((NOTAS!D6:W6)&lt;PARAMETROS!$B$13)))</f>
        <v>0</v>
      </c>
      <c r="K6" s="7">
        <f>SUMPRODUCT(--((((((ASISTENCIA!D6:W6)&lt;&gt;"")*((ASISTENCIA!D6:W6)=0)))+((((((ASISTENCIA!D6:W6)="X")+((ASISTENCIA!D6:W6)="R")))*((NOTAS!$D$1:$W$1)&lt;&gt;"")*((NOTAS!D6:W6)="")))+((ISNUMBER(NOTAS!D6:W6)*((NOTAS!D6:W6)&gt;=1)*((NOTAS!D6:W6)&lt;PARAMETROS!$B$13))))&gt;0))</f>
        <v>0</v>
      </c>
      <c r="L6" s="7">
        <f>K6+INT(H6/PARAMETROS!$B$14)</f>
        <v>0</v>
      </c>
      <c r="M6" s="7" t="str">
        <f t="shared" si="0"/>
        <v>NO</v>
      </c>
      <c r="N6" s="4" t="str">
        <f t="shared" si="1"/>
        <v>SIN NOVEDAD</v>
      </c>
      <c r="O6" s="4" t="str">
        <f t="array" ref="O6">_xlfn.TEXTJOIN(", ",TRUE(),IF(((((((ASISTENCIA!D6:W6)&lt;&gt;"")*((ASISTENCIA!D6:W6)=0)))+((((((ASISTENCIA!D6:W6)="X")+((ASISTENCIA!D6:W6)="R")))*((NOTAS!$D$1:$W$1)&lt;&gt;"")*((NOTAS!D6:W6)="")))+((ISNUMBER(NOTAS!D6:W6)*((NOTAS!D6:W6)&gt;=1)*((NOTAS!D6:W6)&lt;PARAMETROS!$B$13))))&gt;0),TEXT(ASISTENCIA!$D$1:$W$1,"DD/MM/YYYY"),""))</f>
        <v/>
      </c>
    </row>
    <row r="7" spans="1:15" ht="14.25" customHeight="1" x14ac:dyDescent="0.35">
      <c r="A7" s="7">
        <f>APRENDICES!A7</f>
        <v>6</v>
      </c>
      <c r="B7" s="7">
        <f>APRENDICES!B7</f>
        <v>0</v>
      </c>
      <c r="C7" s="4">
        <f>APRENDICES!C7</f>
        <v>0</v>
      </c>
      <c r="D7" s="7">
        <f>APRENDICES!D7</f>
        <v>0</v>
      </c>
      <c r="E7" s="7">
        <f>COUNTIF(ASISTENCIA!D7:W7,"X")</f>
        <v>0</v>
      </c>
      <c r="F7" s="7">
        <f>COUNTIF(ASISTENCIA!D7:W7,0)</f>
        <v>0</v>
      </c>
      <c r="G7" s="7">
        <f>COUNTIF(ASISTENCIA!D7:W7,"E")</f>
        <v>0</v>
      </c>
      <c r="H7" s="7">
        <f>COUNTIF(ASISTENCIA!D7:W7,"R")</f>
        <v>0</v>
      </c>
      <c r="I7" s="7">
        <f>SUMPRODUCT((((((ASISTENCIA!D7:W7)="X")+((ASISTENCIA!D7:W7)="R")))*((NOTAS!$D$1:$W$1)&lt;&gt;"")*((NOTAS!D7:W7)="")))</f>
        <v>0</v>
      </c>
      <c r="J7" s="7">
        <f>SUMPRODUCT((ISNUMBER(NOTAS!D7:W7)*((NOTAS!D7:W7)&gt;=1)*((NOTAS!D7:W7)&lt;PARAMETROS!$B$13)))</f>
        <v>0</v>
      </c>
      <c r="K7" s="7">
        <f>SUMPRODUCT(--((((((ASISTENCIA!D7:W7)&lt;&gt;"")*((ASISTENCIA!D7:W7)=0)))+((((((ASISTENCIA!D7:W7)="X")+((ASISTENCIA!D7:W7)="R")))*((NOTAS!$D$1:$W$1)&lt;&gt;"")*((NOTAS!D7:W7)="")))+((ISNUMBER(NOTAS!D7:W7)*((NOTAS!D7:W7)&gt;=1)*((NOTAS!D7:W7)&lt;PARAMETROS!$B$13))))&gt;0))</f>
        <v>0</v>
      </c>
      <c r="L7" s="7">
        <f>K7+INT(H7/PARAMETROS!$B$14)</f>
        <v>0</v>
      </c>
      <c r="M7" s="7" t="str">
        <f t="shared" si="0"/>
        <v>NO</v>
      </c>
      <c r="N7" s="4" t="str">
        <f t="shared" si="1"/>
        <v>SIN NOVEDAD</v>
      </c>
      <c r="O7" s="4" t="str">
        <f t="array" ref="O7">_xlfn.TEXTJOIN(", ",TRUE(),IF(((((((ASISTENCIA!D7:W7)&lt;&gt;"")*((ASISTENCIA!D7:W7)=0)))+((((((ASISTENCIA!D7:W7)="X")+((ASISTENCIA!D7:W7)="R")))*((NOTAS!$D$1:$W$1)&lt;&gt;"")*((NOTAS!D7:W7)="")))+((ISNUMBER(NOTAS!D7:W7)*((NOTAS!D7:W7)&gt;=1)*((NOTAS!D7:W7)&lt;PARAMETROS!$B$13))))&gt;0),TEXT(ASISTENCIA!$D$1:$W$1,"DD/MM/YYYY"),""))</f>
        <v/>
      </c>
    </row>
    <row r="8" spans="1:15" ht="14.25" customHeight="1" x14ac:dyDescent="0.35">
      <c r="A8" s="7">
        <f>APRENDICES!A8</f>
        <v>7</v>
      </c>
      <c r="B8" s="7">
        <f>APRENDICES!B8</f>
        <v>0</v>
      </c>
      <c r="C8" s="4">
        <f>APRENDICES!C8</f>
        <v>0</v>
      </c>
      <c r="D8" s="7">
        <f>APRENDICES!D8</f>
        <v>0</v>
      </c>
      <c r="E8" s="7">
        <f>COUNTIF(ASISTENCIA!D8:W8,"X")</f>
        <v>0</v>
      </c>
      <c r="F8" s="7">
        <f>COUNTIF(ASISTENCIA!D8:W8,0)</f>
        <v>0</v>
      </c>
      <c r="G8" s="7">
        <f>COUNTIF(ASISTENCIA!D8:W8,"E")</f>
        <v>0</v>
      </c>
      <c r="H8" s="7">
        <f>COUNTIF(ASISTENCIA!D8:W8,"R")</f>
        <v>0</v>
      </c>
      <c r="I8" s="7">
        <f>SUMPRODUCT((((((ASISTENCIA!D8:W8)="X")+((ASISTENCIA!D8:W8)="R")))*((NOTAS!$D$1:$W$1)&lt;&gt;"")*((NOTAS!D8:W8)="")))</f>
        <v>0</v>
      </c>
      <c r="J8" s="7">
        <f>SUMPRODUCT((ISNUMBER(NOTAS!D8:W8)*((NOTAS!D8:W8)&gt;=1)*((NOTAS!D8:W8)&lt;PARAMETROS!$B$13)))</f>
        <v>0</v>
      </c>
      <c r="K8" s="7">
        <f>SUMPRODUCT(--((((((ASISTENCIA!D8:W8)&lt;&gt;"")*((ASISTENCIA!D8:W8)=0)))+((((((ASISTENCIA!D8:W8)="X")+((ASISTENCIA!D8:W8)="R")))*((NOTAS!$D$1:$W$1)&lt;&gt;"")*((NOTAS!D8:W8)="")))+((ISNUMBER(NOTAS!D8:W8)*((NOTAS!D8:W8)&gt;=1)*((NOTAS!D8:W8)&lt;PARAMETROS!$B$13))))&gt;0))</f>
        <v>0</v>
      </c>
      <c r="L8" s="7">
        <f>K8+INT(H8/PARAMETROS!$B$14)</f>
        <v>0</v>
      </c>
      <c r="M8" s="7" t="str">
        <f t="shared" si="0"/>
        <v>NO</v>
      </c>
      <c r="N8" s="4" t="str">
        <f t="shared" si="1"/>
        <v>SIN NOVEDAD</v>
      </c>
      <c r="O8" s="4" t="str">
        <f t="array" ref="O8">_xlfn.TEXTJOIN(", ",TRUE(),IF(((((((ASISTENCIA!D8:W8)&lt;&gt;"")*((ASISTENCIA!D8:W8)=0)))+((((((ASISTENCIA!D8:W8)="X")+((ASISTENCIA!D8:W8)="R")))*((NOTAS!$D$1:$W$1)&lt;&gt;"")*((NOTAS!D8:W8)="")))+((ISNUMBER(NOTAS!D8:W8)*((NOTAS!D8:W8)&gt;=1)*((NOTAS!D8:W8)&lt;PARAMETROS!$B$13))))&gt;0),TEXT(ASISTENCIA!$D$1:$W$1,"DD/MM/YYYY"),""))</f>
        <v/>
      </c>
    </row>
    <row r="9" spans="1:15" ht="14.25" customHeight="1" x14ac:dyDescent="0.35">
      <c r="A9" s="7">
        <f>APRENDICES!A9</f>
        <v>8</v>
      </c>
      <c r="B9" s="7">
        <f>APRENDICES!B9</f>
        <v>0</v>
      </c>
      <c r="C9" s="4">
        <f>APRENDICES!C9</f>
        <v>0</v>
      </c>
      <c r="D9" s="7">
        <f>APRENDICES!D9</f>
        <v>0</v>
      </c>
      <c r="E9" s="7">
        <f>COUNTIF(ASISTENCIA!D9:W9,"X")</f>
        <v>0</v>
      </c>
      <c r="F9" s="7">
        <f>COUNTIF(ASISTENCIA!D9:W9,0)</f>
        <v>0</v>
      </c>
      <c r="G9" s="7">
        <f>COUNTIF(ASISTENCIA!D9:W9,"E")</f>
        <v>0</v>
      </c>
      <c r="H9" s="7">
        <f>COUNTIF(ASISTENCIA!D9:W9,"R")</f>
        <v>0</v>
      </c>
      <c r="I9" s="7">
        <f>SUMPRODUCT((((((ASISTENCIA!D9:W9)="X")+((ASISTENCIA!D9:W9)="R")))*((NOTAS!$D$1:$W$1)&lt;&gt;"")*((NOTAS!D9:W9)="")))</f>
        <v>0</v>
      </c>
      <c r="J9" s="7">
        <f>SUMPRODUCT((ISNUMBER(NOTAS!D9:W9)*((NOTAS!D9:W9)&gt;=1)*((NOTAS!D9:W9)&lt;PARAMETROS!$B$13)))</f>
        <v>0</v>
      </c>
      <c r="K9" s="7">
        <f>SUMPRODUCT(--((((((ASISTENCIA!D9:W9)&lt;&gt;"")*((ASISTENCIA!D9:W9)=0)))+((((((ASISTENCIA!D9:W9)="X")+((ASISTENCIA!D9:W9)="R")))*((NOTAS!$D$1:$W$1)&lt;&gt;"")*((NOTAS!D9:W9)="")))+((ISNUMBER(NOTAS!D9:W9)*((NOTAS!D9:W9)&gt;=1)*((NOTAS!D9:W9)&lt;PARAMETROS!$B$13))))&gt;0))</f>
        <v>0</v>
      </c>
      <c r="L9" s="7">
        <f>K9+INT(H9/PARAMETROS!$B$14)</f>
        <v>0</v>
      </c>
      <c r="M9" s="7" t="str">
        <f t="shared" si="0"/>
        <v>NO</v>
      </c>
      <c r="N9" s="4" t="str">
        <f t="shared" si="1"/>
        <v>SIN NOVEDAD</v>
      </c>
      <c r="O9" s="4" t="str">
        <f t="array" ref="O9">_xlfn.TEXTJOIN(", ",TRUE(),IF(((((((ASISTENCIA!D9:W9)&lt;&gt;"")*((ASISTENCIA!D9:W9)=0)))+((((((ASISTENCIA!D9:W9)="X")+((ASISTENCIA!D9:W9)="R")))*((NOTAS!$D$1:$W$1)&lt;&gt;"")*((NOTAS!D9:W9)="")))+((ISNUMBER(NOTAS!D9:W9)*((NOTAS!D9:W9)&gt;=1)*((NOTAS!D9:W9)&lt;PARAMETROS!$B$13))))&gt;0),TEXT(ASISTENCIA!$D$1:$W$1,"DD/MM/YYYY"),""))</f>
        <v/>
      </c>
    </row>
    <row r="10" spans="1:15" ht="14.25" customHeight="1" x14ac:dyDescent="0.35">
      <c r="A10" s="7">
        <f>APRENDICES!A10</f>
        <v>9</v>
      </c>
      <c r="B10" s="7">
        <f>APRENDICES!B10</f>
        <v>0</v>
      </c>
      <c r="C10" s="4">
        <f>APRENDICES!C10</f>
        <v>0</v>
      </c>
      <c r="D10" s="7">
        <f>APRENDICES!D10</f>
        <v>0</v>
      </c>
      <c r="E10" s="7">
        <f>COUNTIF(ASISTENCIA!D10:W10,"X")</f>
        <v>0</v>
      </c>
      <c r="F10" s="7">
        <f>COUNTIF(ASISTENCIA!D10:W10,0)</f>
        <v>0</v>
      </c>
      <c r="G10" s="7">
        <f>COUNTIF(ASISTENCIA!D10:W10,"E")</f>
        <v>0</v>
      </c>
      <c r="H10" s="7">
        <f>COUNTIF(ASISTENCIA!D10:W10,"R")</f>
        <v>0</v>
      </c>
      <c r="I10" s="7">
        <f>SUMPRODUCT((((((ASISTENCIA!D10:W10)="X")+((ASISTENCIA!D10:W10)="R")))*((NOTAS!$D$1:$W$1)&lt;&gt;"")*((NOTAS!D10:W10)="")))</f>
        <v>0</v>
      </c>
      <c r="J10" s="7">
        <f>SUMPRODUCT((ISNUMBER(NOTAS!D10:W10)*((NOTAS!D10:W10)&gt;=1)*((NOTAS!D10:W10)&lt;PARAMETROS!$B$13)))</f>
        <v>0</v>
      </c>
      <c r="K10" s="7">
        <f>SUMPRODUCT(--((((((ASISTENCIA!D10:W10)&lt;&gt;"")*((ASISTENCIA!D10:W10)=0)))+((((((ASISTENCIA!D10:W10)="X")+((ASISTENCIA!D10:W10)="R")))*((NOTAS!$D$1:$W$1)&lt;&gt;"")*((NOTAS!D10:W10)="")))+((ISNUMBER(NOTAS!D10:W10)*((NOTAS!D10:W10)&gt;=1)*((NOTAS!D10:W10)&lt;PARAMETROS!$B$13))))&gt;0))</f>
        <v>0</v>
      </c>
      <c r="L10" s="7">
        <f>K10+INT(H10/PARAMETROS!$B$14)</f>
        <v>0</v>
      </c>
      <c r="M10" s="7" t="str">
        <f t="shared" si="0"/>
        <v>NO</v>
      </c>
      <c r="N10" s="4" t="str">
        <f t="shared" si="1"/>
        <v>SIN NOVEDAD</v>
      </c>
      <c r="O10" s="4" t="str">
        <f t="array" ref="O10">_xlfn.TEXTJOIN(", ",TRUE(),IF(((((((ASISTENCIA!D10:W10)&lt;&gt;"")*((ASISTENCIA!D10:W10)=0)))+((((((ASISTENCIA!D10:W10)="X")+((ASISTENCIA!D10:W10)="R")))*((NOTAS!$D$1:$W$1)&lt;&gt;"")*((NOTAS!D10:W10)="")))+((ISNUMBER(NOTAS!D10:W10)*((NOTAS!D10:W10)&gt;=1)*((NOTAS!D10:W10)&lt;PARAMETROS!$B$13))))&gt;0),TEXT(ASISTENCIA!$D$1:$W$1,"DD/MM/YYYY"),""))</f>
        <v/>
      </c>
    </row>
    <row r="11" spans="1:15" ht="14.25" customHeight="1" x14ac:dyDescent="0.35">
      <c r="A11" s="7">
        <f>APRENDICES!A11</f>
        <v>10</v>
      </c>
      <c r="B11" s="7">
        <f>APRENDICES!B11</f>
        <v>0</v>
      </c>
      <c r="C11" s="4">
        <f>APRENDICES!C11</f>
        <v>0</v>
      </c>
      <c r="D11" s="7">
        <f>APRENDICES!D11</f>
        <v>0</v>
      </c>
      <c r="E11" s="7">
        <f>COUNTIF(ASISTENCIA!D11:W11,"X")</f>
        <v>0</v>
      </c>
      <c r="F11" s="7">
        <f>COUNTIF(ASISTENCIA!D11:W11,0)</f>
        <v>0</v>
      </c>
      <c r="G11" s="7">
        <f>COUNTIF(ASISTENCIA!D11:W11,"E")</f>
        <v>0</v>
      </c>
      <c r="H11" s="7">
        <f>COUNTIF(ASISTENCIA!D11:W11,"R")</f>
        <v>0</v>
      </c>
      <c r="I11" s="7">
        <f>SUMPRODUCT((((((ASISTENCIA!D11:W11)="X")+((ASISTENCIA!D11:W11)="R")))*((NOTAS!$D$1:$W$1)&lt;&gt;"")*((NOTAS!D11:W11)="")))</f>
        <v>0</v>
      </c>
      <c r="J11" s="7">
        <f>SUMPRODUCT((ISNUMBER(NOTAS!D11:W11)*((NOTAS!D11:W11)&gt;=1)*((NOTAS!D11:W11)&lt;PARAMETROS!$B$13)))</f>
        <v>0</v>
      </c>
      <c r="K11" s="7">
        <f>SUMPRODUCT(--((((((ASISTENCIA!D11:W11)&lt;&gt;"")*((ASISTENCIA!D11:W11)=0)))+((((((ASISTENCIA!D11:W11)="X")+((ASISTENCIA!D11:W11)="R")))*((NOTAS!$D$1:$W$1)&lt;&gt;"")*((NOTAS!D11:W11)="")))+((ISNUMBER(NOTAS!D11:W11)*((NOTAS!D11:W11)&gt;=1)*((NOTAS!D11:W11)&lt;PARAMETROS!$B$13))))&gt;0))</f>
        <v>0</v>
      </c>
      <c r="L11" s="7">
        <f>K11+INT(H11/PARAMETROS!$B$14)</f>
        <v>0</v>
      </c>
      <c r="M11" s="7" t="str">
        <f t="shared" si="0"/>
        <v>NO</v>
      </c>
      <c r="N11" s="4" t="str">
        <f t="shared" si="1"/>
        <v>SIN NOVEDAD</v>
      </c>
      <c r="O11" s="4" t="str">
        <f t="array" ref="O11">_xlfn.TEXTJOIN(", ",TRUE(),IF(((((((ASISTENCIA!D11:W11)&lt;&gt;"")*((ASISTENCIA!D11:W11)=0)))+((((((ASISTENCIA!D11:W11)="X")+((ASISTENCIA!D11:W11)="R")))*((NOTAS!$D$1:$W$1)&lt;&gt;"")*((NOTAS!D11:W11)="")))+((ISNUMBER(NOTAS!D11:W11)*((NOTAS!D11:W11)&gt;=1)*((NOTAS!D11:W11)&lt;PARAMETROS!$B$13))))&gt;0),TEXT(ASISTENCIA!$D$1:$W$1,"DD/MM/YYYY"),""))</f>
        <v/>
      </c>
    </row>
    <row r="12" spans="1:15" ht="14.25" customHeight="1" x14ac:dyDescent="0.35">
      <c r="A12" s="7">
        <f>APRENDICES!A12</f>
        <v>11</v>
      </c>
      <c r="B12" s="7">
        <f>APRENDICES!B12</f>
        <v>0</v>
      </c>
      <c r="C12" s="4">
        <f>APRENDICES!C12</f>
        <v>0</v>
      </c>
      <c r="D12" s="7">
        <f>APRENDICES!D12</f>
        <v>0</v>
      </c>
      <c r="E12" s="7">
        <f>COUNTIF(ASISTENCIA!D12:W12,"X")</f>
        <v>0</v>
      </c>
      <c r="F12" s="7">
        <f>COUNTIF(ASISTENCIA!D12:W12,0)</f>
        <v>0</v>
      </c>
      <c r="G12" s="7">
        <f>COUNTIF(ASISTENCIA!D12:W12,"E")</f>
        <v>0</v>
      </c>
      <c r="H12" s="7">
        <f>COUNTIF(ASISTENCIA!D12:W12,"R")</f>
        <v>0</v>
      </c>
      <c r="I12" s="7">
        <f>SUMPRODUCT((((((ASISTENCIA!D12:W12)="X")+((ASISTENCIA!D12:W12)="R")))*((NOTAS!$D$1:$W$1)&lt;&gt;"")*((NOTAS!D12:W12)="")))</f>
        <v>0</v>
      </c>
      <c r="J12" s="7">
        <f>SUMPRODUCT((ISNUMBER(NOTAS!D12:W12)*((NOTAS!D12:W12)&gt;=1)*((NOTAS!D12:W12)&lt;PARAMETROS!$B$13)))</f>
        <v>0</v>
      </c>
      <c r="K12" s="7">
        <f>SUMPRODUCT(--((((((ASISTENCIA!D12:W12)&lt;&gt;"")*((ASISTENCIA!D12:W12)=0)))+((((((ASISTENCIA!D12:W12)="X")+((ASISTENCIA!D12:W12)="R")))*((NOTAS!$D$1:$W$1)&lt;&gt;"")*((NOTAS!D12:W12)="")))+((ISNUMBER(NOTAS!D12:W12)*((NOTAS!D12:W12)&gt;=1)*((NOTAS!D12:W12)&lt;PARAMETROS!$B$13))))&gt;0))</f>
        <v>0</v>
      </c>
      <c r="L12" s="7">
        <f>K12+INT(H12/PARAMETROS!$B$14)</f>
        <v>0</v>
      </c>
      <c r="M12" s="7" t="str">
        <f t="shared" si="0"/>
        <v>NO</v>
      </c>
      <c r="N12" s="4" t="str">
        <f t="shared" si="1"/>
        <v>SIN NOVEDAD</v>
      </c>
      <c r="O12" s="4" t="str">
        <f t="array" ref="O12">_xlfn.TEXTJOIN(", ",TRUE(),IF(((((((ASISTENCIA!D12:W12)&lt;&gt;"")*((ASISTENCIA!D12:W12)=0)))+((((((ASISTENCIA!D12:W12)="X")+((ASISTENCIA!D12:W12)="R")))*((NOTAS!$D$1:$W$1)&lt;&gt;"")*((NOTAS!D12:W12)="")))+((ISNUMBER(NOTAS!D12:W12)*((NOTAS!D12:W12)&gt;=1)*((NOTAS!D12:W12)&lt;PARAMETROS!$B$13))))&gt;0),TEXT(ASISTENCIA!$D$1:$W$1,"DD/MM/YYYY"),""))</f>
        <v/>
      </c>
    </row>
    <row r="13" spans="1:15" ht="14.25" customHeight="1" x14ac:dyDescent="0.35">
      <c r="A13" s="7">
        <f>APRENDICES!A13</f>
        <v>12</v>
      </c>
      <c r="B13" s="7">
        <f>APRENDICES!B13</f>
        <v>0</v>
      </c>
      <c r="C13" s="4">
        <f>APRENDICES!C13</f>
        <v>0</v>
      </c>
      <c r="D13" s="7">
        <f>APRENDICES!D13</f>
        <v>0</v>
      </c>
      <c r="E13" s="7">
        <f>COUNTIF(ASISTENCIA!D13:W13,"X")</f>
        <v>0</v>
      </c>
      <c r="F13" s="7">
        <f>COUNTIF(ASISTENCIA!D13:W13,0)</f>
        <v>0</v>
      </c>
      <c r="G13" s="7">
        <f>COUNTIF(ASISTENCIA!D13:W13,"E")</f>
        <v>0</v>
      </c>
      <c r="H13" s="7">
        <f>COUNTIF(ASISTENCIA!D13:W13,"R")</f>
        <v>0</v>
      </c>
      <c r="I13" s="7">
        <f>SUMPRODUCT((((((ASISTENCIA!D13:W13)="X")+((ASISTENCIA!D13:W13)="R")))*((NOTAS!$D$1:$W$1)&lt;&gt;"")*((NOTAS!D13:W13)="")))</f>
        <v>0</v>
      </c>
      <c r="J13" s="7">
        <f>SUMPRODUCT((ISNUMBER(NOTAS!D13:W13)*((NOTAS!D13:W13)&gt;=1)*((NOTAS!D13:W13)&lt;PARAMETROS!$B$13)))</f>
        <v>0</v>
      </c>
      <c r="K13" s="7">
        <f>SUMPRODUCT(--((((((ASISTENCIA!D13:W13)&lt;&gt;"")*((ASISTENCIA!D13:W13)=0)))+((((((ASISTENCIA!D13:W13)="X")+((ASISTENCIA!D13:W13)="R")))*((NOTAS!$D$1:$W$1)&lt;&gt;"")*((NOTAS!D13:W13)="")))+((ISNUMBER(NOTAS!D13:W13)*((NOTAS!D13:W13)&gt;=1)*((NOTAS!D13:W13)&lt;PARAMETROS!$B$13))))&gt;0))</f>
        <v>0</v>
      </c>
      <c r="L13" s="7">
        <f>K13+INT(H13/PARAMETROS!$B$14)</f>
        <v>0</v>
      </c>
      <c r="M13" s="7" t="str">
        <f t="shared" si="0"/>
        <v>NO</v>
      </c>
      <c r="N13" s="4" t="str">
        <f t="shared" si="1"/>
        <v>SIN NOVEDAD</v>
      </c>
      <c r="O13" s="4" t="str">
        <f t="array" ref="O13">_xlfn.TEXTJOIN(", ",TRUE(),IF(((((((ASISTENCIA!D13:W13)&lt;&gt;"")*((ASISTENCIA!D13:W13)=0)))+((((((ASISTENCIA!D13:W13)="X")+((ASISTENCIA!D13:W13)="R")))*((NOTAS!$D$1:$W$1)&lt;&gt;"")*((NOTAS!D13:W13)="")))+((ISNUMBER(NOTAS!D13:W13)*((NOTAS!D13:W13)&gt;=1)*((NOTAS!D13:W13)&lt;PARAMETROS!$B$13))))&gt;0),TEXT(ASISTENCIA!$D$1:$W$1,"DD/MM/YYYY"),""))</f>
        <v/>
      </c>
    </row>
    <row r="14" spans="1:15" ht="14.25" customHeight="1" x14ac:dyDescent="0.35">
      <c r="A14" s="7">
        <f>APRENDICES!A14</f>
        <v>13</v>
      </c>
      <c r="B14" s="7">
        <f>APRENDICES!B14</f>
        <v>0</v>
      </c>
      <c r="C14" s="4">
        <f>APRENDICES!C14</f>
        <v>0</v>
      </c>
      <c r="D14" s="7">
        <f>APRENDICES!D14</f>
        <v>0</v>
      </c>
      <c r="E14" s="7">
        <f>COUNTIF(ASISTENCIA!D14:W14,"X")</f>
        <v>0</v>
      </c>
      <c r="F14" s="7">
        <f>COUNTIF(ASISTENCIA!D14:W14,0)</f>
        <v>0</v>
      </c>
      <c r="G14" s="7">
        <f>COUNTIF(ASISTENCIA!D14:W14,"E")</f>
        <v>0</v>
      </c>
      <c r="H14" s="7">
        <f>COUNTIF(ASISTENCIA!D14:W14,"R")</f>
        <v>0</v>
      </c>
      <c r="I14" s="7">
        <f>SUMPRODUCT((((((ASISTENCIA!D14:W14)="X")+((ASISTENCIA!D14:W14)="R")))*((NOTAS!$D$1:$W$1)&lt;&gt;"")*((NOTAS!D14:W14)="")))</f>
        <v>0</v>
      </c>
      <c r="J14" s="7">
        <f>SUMPRODUCT((ISNUMBER(NOTAS!D14:W14)*((NOTAS!D14:W14)&gt;=1)*((NOTAS!D14:W14)&lt;PARAMETROS!$B$13)))</f>
        <v>0</v>
      </c>
      <c r="K14" s="7">
        <f>SUMPRODUCT(--((((((ASISTENCIA!D14:W14)&lt;&gt;"")*((ASISTENCIA!D14:W14)=0)))+((((((ASISTENCIA!D14:W14)="X")+((ASISTENCIA!D14:W14)="R")))*((NOTAS!$D$1:$W$1)&lt;&gt;"")*((NOTAS!D14:W14)="")))+((ISNUMBER(NOTAS!D14:W14)*((NOTAS!D14:W14)&gt;=1)*((NOTAS!D14:W14)&lt;PARAMETROS!$B$13))))&gt;0))</f>
        <v>0</v>
      </c>
      <c r="L14" s="7">
        <f>K14+INT(H14/PARAMETROS!$B$14)</f>
        <v>0</v>
      </c>
      <c r="M14" s="7" t="str">
        <f t="shared" si="0"/>
        <v>NO</v>
      </c>
      <c r="N14" s="4" t="str">
        <f t="shared" si="1"/>
        <v>SIN NOVEDAD</v>
      </c>
      <c r="O14" s="4" t="str">
        <f t="array" ref="O14">_xlfn.TEXTJOIN(", ",TRUE(),IF(((((((ASISTENCIA!D14:W14)&lt;&gt;"")*((ASISTENCIA!D14:W14)=0)))+((((((ASISTENCIA!D14:W14)="X")+((ASISTENCIA!D14:W14)="R")))*((NOTAS!$D$1:$W$1)&lt;&gt;"")*((NOTAS!D14:W14)="")))+((ISNUMBER(NOTAS!D14:W14)*((NOTAS!D14:W14)&gt;=1)*((NOTAS!D14:W14)&lt;PARAMETROS!$B$13))))&gt;0),TEXT(ASISTENCIA!$D$1:$W$1,"DD/MM/YYYY"),""))</f>
        <v/>
      </c>
    </row>
    <row r="15" spans="1:15" ht="14.25" customHeight="1" x14ac:dyDescent="0.35">
      <c r="A15" s="7">
        <f>APRENDICES!A15</f>
        <v>14</v>
      </c>
      <c r="B15" s="7">
        <f>APRENDICES!B15</f>
        <v>0</v>
      </c>
      <c r="C15" s="4">
        <f>APRENDICES!C15</f>
        <v>0</v>
      </c>
      <c r="D15" s="7">
        <f>APRENDICES!D15</f>
        <v>0</v>
      </c>
      <c r="E15" s="7">
        <f>COUNTIF(ASISTENCIA!D15:W15,"X")</f>
        <v>0</v>
      </c>
      <c r="F15" s="7">
        <f>COUNTIF(ASISTENCIA!D15:W15,0)</f>
        <v>0</v>
      </c>
      <c r="G15" s="7">
        <f>COUNTIF(ASISTENCIA!D15:W15,"E")</f>
        <v>0</v>
      </c>
      <c r="H15" s="7">
        <f>COUNTIF(ASISTENCIA!D15:W15,"R")</f>
        <v>0</v>
      </c>
      <c r="I15" s="7">
        <f>SUMPRODUCT((((((ASISTENCIA!D15:W15)="X")+((ASISTENCIA!D15:W15)="R")))*((NOTAS!$D$1:$W$1)&lt;&gt;"")*((NOTAS!D15:W15)="")))</f>
        <v>0</v>
      </c>
      <c r="J15" s="7">
        <f>SUMPRODUCT((ISNUMBER(NOTAS!D15:W15)*((NOTAS!D15:W15)&gt;=1)*((NOTAS!D15:W15)&lt;PARAMETROS!$B$13)))</f>
        <v>0</v>
      </c>
      <c r="K15" s="7">
        <f>SUMPRODUCT(--((((((ASISTENCIA!D15:W15)&lt;&gt;"")*((ASISTENCIA!D15:W15)=0)))+((((((ASISTENCIA!D15:W15)="X")+((ASISTENCIA!D15:W15)="R")))*((NOTAS!$D$1:$W$1)&lt;&gt;"")*((NOTAS!D15:W15)="")))+((ISNUMBER(NOTAS!D15:W15)*((NOTAS!D15:W15)&gt;=1)*((NOTAS!D15:W15)&lt;PARAMETROS!$B$13))))&gt;0))</f>
        <v>0</v>
      </c>
      <c r="L15" s="7">
        <f>K15+INT(H15/PARAMETROS!$B$14)</f>
        <v>0</v>
      </c>
      <c r="M15" s="7" t="str">
        <f t="shared" si="0"/>
        <v>NO</v>
      </c>
      <c r="N15" s="4" t="str">
        <f t="shared" si="1"/>
        <v>SIN NOVEDAD</v>
      </c>
      <c r="O15" s="4" t="str">
        <f t="array" ref="O15">_xlfn.TEXTJOIN(", ",TRUE(),IF(((((((ASISTENCIA!D15:W15)&lt;&gt;"")*((ASISTENCIA!D15:W15)=0)))+((((((ASISTENCIA!D15:W15)="X")+((ASISTENCIA!D15:W15)="R")))*((NOTAS!$D$1:$W$1)&lt;&gt;"")*((NOTAS!D15:W15)="")))+((ISNUMBER(NOTAS!D15:W15)*((NOTAS!D15:W15)&gt;=1)*((NOTAS!D15:W15)&lt;PARAMETROS!$B$13))))&gt;0),TEXT(ASISTENCIA!$D$1:$W$1,"DD/MM/YYYY"),""))</f>
        <v/>
      </c>
    </row>
    <row r="16" spans="1:15" ht="14.25" customHeight="1" x14ac:dyDescent="0.35">
      <c r="A16" s="7">
        <f>APRENDICES!A16</f>
        <v>15</v>
      </c>
      <c r="B16" s="7">
        <f>APRENDICES!B16</f>
        <v>0</v>
      </c>
      <c r="C16" s="4">
        <f>APRENDICES!C16</f>
        <v>0</v>
      </c>
      <c r="D16" s="7">
        <f>APRENDICES!D16</f>
        <v>0</v>
      </c>
      <c r="E16" s="7">
        <f>COUNTIF(ASISTENCIA!D16:W16,"X")</f>
        <v>0</v>
      </c>
      <c r="F16" s="7">
        <f>COUNTIF(ASISTENCIA!D16:W16,0)</f>
        <v>0</v>
      </c>
      <c r="G16" s="7">
        <f>COUNTIF(ASISTENCIA!D16:W16,"E")</f>
        <v>0</v>
      </c>
      <c r="H16" s="7">
        <f>COUNTIF(ASISTENCIA!D16:W16,"R")</f>
        <v>0</v>
      </c>
      <c r="I16" s="7">
        <f>SUMPRODUCT((((((ASISTENCIA!D16:W16)="X")+((ASISTENCIA!D16:W16)="R")))*((NOTAS!$D$1:$W$1)&lt;&gt;"")*((NOTAS!D16:W16)="")))</f>
        <v>0</v>
      </c>
      <c r="J16" s="7">
        <f>SUMPRODUCT((ISNUMBER(NOTAS!D16:W16)*((NOTAS!D16:W16)&gt;=1)*((NOTAS!D16:W16)&lt;PARAMETROS!$B$13)))</f>
        <v>0</v>
      </c>
      <c r="K16" s="7">
        <f>SUMPRODUCT(--((((((ASISTENCIA!D16:W16)&lt;&gt;"")*((ASISTENCIA!D16:W16)=0)))+((((((ASISTENCIA!D16:W16)="X")+((ASISTENCIA!D16:W16)="R")))*((NOTAS!$D$1:$W$1)&lt;&gt;"")*((NOTAS!D16:W16)="")))+((ISNUMBER(NOTAS!D16:W16)*((NOTAS!D16:W16)&gt;=1)*((NOTAS!D16:W16)&lt;PARAMETROS!$B$13))))&gt;0))</f>
        <v>0</v>
      </c>
      <c r="L16" s="7">
        <f>K16+INT(H16/PARAMETROS!$B$14)</f>
        <v>0</v>
      </c>
      <c r="M16" s="7" t="str">
        <f t="shared" si="0"/>
        <v>NO</v>
      </c>
      <c r="N16" s="4" t="str">
        <f t="shared" si="1"/>
        <v>SIN NOVEDAD</v>
      </c>
      <c r="O16" s="4" t="str">
        <f t="array" ref="O16">_xlfn.TEXTJOIN(", ",TRUE(),IF(((((((ASISTENCIA!D16:W16)&lt;&gt;"")*((ASISTENCIA!D16:W16)=0)))+((((((ASISTENCIA!D16:W16)="X")+((ASISTENCIA!D16:W16)="R")))*((NOTAS!$D$1:$W$1)&lt;&gt;"")*((NOTAS!D16:W16)="")))+((ISNUMBER(NOTAS!D16:W16)*((NOTAS!D16:W16)&gt;=1)*((NOTAS!D16:W16)&lt;PARAMETROS!$B$13))))&gt;0),TEXT(ASISTENCIA!$D$1:$W$1,"DD/MM/YYYY"),""))</f>
        <v/>
      </c>
    </row>
    <row r="17" spans="1:15" ht="14.25" customHeight="1" x14ac:dyDescent="0.35">
      <c r="A17" s="7">
        <f>APRENDICES!A17</f>
        <v>16</v>
      </c>
      <c r="B17" s="7">
        <f>APRENDICES!B17</f>
        <v>0</v>
      </c>
      <c r="C17" s="4">
        <f>APRENDICES!C17</f>
        <v>0</v>
      </c>
      <c r="D17" s="7">
        <f>APRENDICES!D17</f>
        <v>0</v>
      </c>
      <c r="E17" s="7">
        <f>COUNTIF(ASISTENCIA!D17:W17,"X")</f>
        <v>0</v>
      </c>
      <c r="F17" s="7">
        <f>COUNTIF(ASISTENCIA!D17:W17,0)</f>
        <v>0</v>
      </c>
      <c r="G17" s="7">
        <f>COUNTIF(ASISTENCIA!D17:W17,"E")</f>
        <v>0</v>
      </c>
      <c r="H17" s="7">
        <f>COUNTIF(ASISTENCIA!D17:W17,"R")</f>
        <v>0</v>
      </c>
      <c r="I17" s="7">
        <f>SUMPRODUCT((((((ASISTENCIA!D17:W17)="X")+((ASISTENCIA!D17:W17)="R")))*((NOTAS!$D$1:$W$1)&lt;&gt;"")*((NOTAS!D17:W17)="")))</f>
        <v>0</v>
      </c>
      <c r="J17" s="7">
        <f>SUMPRODUCT((ISNUMBER(NOTAS!D17:W17)*((NOTAS!D17:W17)&gt;=1)*((NOTAS!D17:W17)&lt;PARAMETROS!$B$13)))</f>
        <v>0</v>
      </c>
      <c r="K17" s="7">
        <f>SUMPRODUCT(--((((((ASISTENCIA!D17:W17)&lt;&gt;"")*((ASISTENCIA!D17:W17)=0)))+((((((ASISTENCIA!D17:W17)="X")+((ASISTENCIA!D17:W17)="R")))*((NOTAS!$D$1:$W$1)&lt;&gt;"")*((NOTAS!D17:W17)="")))+((ISNUMBER(NOTAS!D17:W17)*((NOTAS!D17:W17)&gt;=1)*((NOTAS!D17:W17)&lt;PARAMETROS!$B$13))))&gt;0))</f>
        <v>0</v>
      </c>
      <c r="L17" s="7">
        <f>K17+INT(H17/PARAMETROS!$B$14)</f>
        <v>0</v>
      </c>
      <c r="M17" s="7" t="str">
        <f t="shared" si="0"/>
        <v>NO</v>
      </c>
      <c r="N17" s="4" t="str">
        <f t="shared" si="1"/>
        <v>SIN NOVEDAD</v>
      </c>
      <c r="O17" s="4" t="str">
        <f t="array" ref="O17">_xlfn.TEXTJOIN(", ",TRUE(),IF(((((((ASISTENCIA!D17:W17)&lt;&gt;"")*((ASISTENCIA!D17:W17)=0)))+((((((ASISTENCIA!D17:W17)="X")+((ASISTENCIA!D17:W17)="R")))*((NOTAS!$D$1:$W$1)&lt;&gt;"")*((NOTAS!D17:W17)="")))+((ISNUMBER(NOTAS!D17:W17)*((NOTAS!D17:W17)&gt;=1)*((NOTAS!D17:W17)&lt;PARAMETROS!$B$13))))&gt;0),TEXT(ASISTENCIA!$D$1:$W$1,"DD/MM/YYYY"),""))</f>
        <v/>
      </c>
    </row>
    <row r="18" spans="1:15" ht="14.25" customHeight="1" x14ac:dyDescent="0.35">
      <c r="A18" s="7">
        <f>APRENDICES!A18</f>
        <v>17</v>
      </c>
      <c r="B18" s="7">
        <f>APRENDICES!B18</f>
        <v>0</v>
      </c>
      <c r="C18" s="4">
        <f>APRENDICES!C18</f>
        <v>0</v>
      </c>
      <c r="D18" s="7">
        <f>APRENDICES!D18</f>
        <v>0</v>
      </c>
      <c r="E18" s="7">
        <f>COUNTIF(ASISTENCIA!D18:W18,"X")</f>
        <v>0</v>
      </c>
      <c r="F18" s="7">
        <f>COUNTIF(ASISTENCIA!D18:W18,0)</f>
        <v>0</v>
      </c>
      <c r="G18" s="7">
        <f>COUNTIF(ASISTENCIA!D18:W18,"E")</f>
        <v>0</v>
      </c>
      <c r="H18" s="7">
        <f>COUNTIF(ASISTENCIA!D18:W18,"R")</f>
        <v>0</v>
      </c>
      <c r="I18" s="7">
        <f>SUMPRODUCT((((((ASISTENCIA!D18:W18)="X")+((ASISTENCIA!D18:W18)="R")))*((NOTAS!$D$1:$W$1)&lt;&gt;"")*((NOTAS!D18:W18)="")))</f>
        <v>0</v>
      </c>
      <c r="J18" s="7">
        <f>SUMPRODUCT((ISNUMBER(NOTAS!D18:W18)*((NOTAS!D18:W18)&gt;=1)*((NOTAS!D18:W18)&lt;PARAMETROS!$B$13)))</f>
        <v>0</v>
      </c>
      <c r="K18" s="7">
        <f>SUMPRODUCT(--((((((ASISTENCIA!D18:W18)&lt;&gt;"")*((ASISTENCIA!D18:W18)=0)))+((((((ASISTENCIA!D18:W18)="X")+((ASISTENCIA!D18:W18)="R")))*((NOTAS!$D$1:$W$1)&lt;&gt;"")*((NOTAS!D18:W18)="")))+((ISNUMBER(NOTAS!D18:W18)*((NOTAS!D18:W18)&gt;=1)*((NOTAS!D18:W18)&lt;PARAMETROS!$B$13))))&gt;0))</f>
        <v>0</v>
      </c>
      <c r="L18" s="7">
        <f>K18+INT(H18/PARAMETROS!$B$14)</f>
        <v>0</v>
      </c>
      <c r="M18" s="7" t="str">
        <f t="shared" si="0"/>
        <v>NO</v>
      </c>
      <c r="N18" s="4" t="str">
        <f t="shared" si="1"/>
        <v>SIN NOVEDAD</v>
      </c>
      <c r="O18" s="4" t="str">
        <f t="array" ref="O18">_xlfn.TEXTJOIN(", ",TRUE(),IF(((((((ASISTENCIA!D18:W18)&lt;&gt;"")*((ASISTENCIA!D18:W18)=0)))+((((((ASISTENCIA!D18:W18)="X")+((ASISTENCIA!D18:W18)="R")))*((NOTAS!$D$1:$W$1)&lt;&gt;"")*((NOTAS!D18:W18)="")))+((ISNUMBER(NOTAS!D18:W18)*((NOTAS!D18:W18)&gt;=1)*((NOTAS!D18:W18)&lt;PARAMETROS!$B$13))))&gt;0),TEXT(ASISTENCIA!$D$1:$W$1,"DD/MM/YYYY"),""))</f>
        <v/>
      </c>
    </row>
    <row r="19" spans="1:15" ht="14.25" customHeight="1" x14ac:dyDescent="0.35">
      <c r="A19" s="7">
        <f>APRENDICES!A19</f>
        <v>18</v>
      </c>
      <c r="B19" s="7">
        <f>APRENDICES!B19</f>
        <v>0</v>
      </c>
      <c r="C19" s="4">
        <f>APRENDICES!C19</f>
        <v>0</v>
      </c>
      <c r="D19" s="7">
        <f>APRENDICES!D19</f>
        <v>0</v>
      </c>
      <c r="E19" s="7">
        <f>COUNTIF(ASISTENCIA!D19:W19,"X")</f>
        <v>0</v>
      </c>
      <c r="F19" s="7">
        <f>COUNTIF(ASISTENCIA!D19:W19,0)</f>
        <v>0</v>
      </c>
      <c r="G19" s="7">
        <f>COUNTIF(ASISTENCIA!D19:W19,"E")</f>
        <v>0</v>
      </c>
      <c r="H19" s="7">
        <f>COUNTIF(ASISTENCIA!D19:W19,"R")</f>
        <v>0</v>
      </c>
      <c r="I19" s="7">
        <f>SUMPRODUCT((((((ASISTENCIA!D19:W19)="X")+((ASISTENCIA!D19:W19)="R")))*((NOTAS!$D$1:$W$1)&lt;&gt;"")*((NOTAS!D19:W19)="")))</f>
        <v>0</v>
      </c>
      <c r="J19" s="7">
        <f>SUMPRODUCT((ISNUMBER(NOTAS!D19:W19)*((NOTAS!D19:W19)&gt;=1)*((NOTAS!D19:W19)&lt;PARAMETROS!$B$13)))</f>
        <v>0</v>
      </c>
      <c r="K19" s="7">
        <f>SUMPRODUCT(--((((((ASISTENCIA!D19:W19)&lt;&gt;"")*((ASISTENCIA!D19:W19)=0)))+((((((ASISTENCIA!D19:W19)="X")+((ASISTENCIA!D19:W19)="R")))*((NOTAS!$D$1:$W$1)&lt;&gt;"")*((NOTAS!D19:W19)="")))+((ISNUMBER(NOTAS!D19:W19)*((NOTAS!D19:W19)&gt;=1)*((NOTAS!D19:W19)&lt;PARAMETROS!$B$13))))&gt;0))</f>
        <v>0</v>
      </c>
      <c r="L19" s="7">
        <f>K19+INT(H19/PARAMETROS!$B$14)</f>
        <v>0</v>
      </c>
      <c r="M19" s="7" t="str">
        <f t="shared" si="0"/>
        <v>NO</v>
      </c>
      <c r="N19" s="4" t="str">
        <f t="shared" si="1"/>
        <v>SIN NOVEDAD</v>
      </c>
      <c r="O19" s="4" t="str">
        <f t="array" ref="O19">_xlfn.TEXTJOIN(", ",TRUE(),IF(((((((ASISTENCIA!D19:W19)&lt;&gt;"")*((ASISTENCIA!D19:W19)=0)))+((((((ASISTENCIA!D19:W19)="X")+((ASISTENCIA!D19:W19)="R")))*((NOTAS!$D$1:$W$1)&lt;&gt;"")*((NOTAS!D19:W19)="")))+((ISNUMBER(NOTAS!D19:W19)*((NOTAS!D19:W19)&gt;=1)*((NOTAS!D19:W19)&lt;PARAMETROS!$B$13))))&gt;0),TEXT(ASISTENCIA!$D$1:$W$1,"DD/MM/YYYY"),""))</f>
        <v/>
      </c>
    </row>
    <row r="20" spans="1:15" ht="14.25" customHeight="1" x14ac:dyDescent="0.35">
      <c r="A20" s="7">
        <f>APRENDICES!A20</f>
        <v>19</v>
      </c>
      <c r="B20" s="7">
        <f>APRENDICES!B20</f>
        <v>0</v>
      </c>
      <c r="C20" s="4">
        <f>APRENDICES!C20</f>
        <v>0</v>
      </c>
      <c r="D20" s="7">
        <f>APRENDICES!D20</f>
        <v>0</v>
      </c>
      <c r="E20" s="7">
        <f>COUNTIF(ASISTENCIA!D20:W20,"X")</f>
        <v>0</v>
      </c>
      <c r="F20" s="7">
        <f>COUNTIF(ASISTENCIA!D20:W20,0)</f>
        <v>0</v>
      </c>
      <c r="G20" s="7">
        <f>COUNTIF(ASISTENCIA!D20:W20,"E")</f>
        <v>0</v>
      </c>
      <c r="H20" s="7">
        <f>COUNTIF(ASISTENCIA!D20:W20,"R")</f>
        <v>0</v>
      </c>
      <c r="I20" s="7">
        <f>SUMPRODUCT((((((ASISTENCIA!D20:W20)="X")+((ASISTENCIA!D20:W20)="R")))*((NOTAS!$D$1:$W$1)&lt;&gt;"")*((NOTAS!D20:W20)="")))</f>
        <v>0</v>
      </c>
      <c r="J20" s="7">
        <f>SUMPRODUCT((ISNUMBER(NOTAS!D20:W20)*((NOTAS!D20:W20)&gt;=1)*((NOTAS!D20:W20)&lt;PARAMETROS!$B$13)))</f>
        <v>0</v>
      </c>
      <c r="K20" s="7">
        <f>SUMPRODUCT(--((((((ASISTENCIA!D20:W20)&lt;&gt;"")*((ASISTENCIA!D20:W20)=0)))+((((((ASISTENCIA!D20:W20)="X")+((ASISTENCIA!D20:W20)="R")))*((NOTAS!$D$1:$W$1)&lt;&gt;"")*((NOTAS!D20:W20)="")))+((ISNUMBER(NOTAS!D20:W20)*((NOTAS!D20:W20)&gt;=1)*((NOTAS!D20:W20)&lt;PARAMETROS!$B$13))))&gt;0))</f>
        <v>0</v>
      </c>
      <c r="L20" s="7">
        <f>K20+INT(H20/PARAMETROS!$B$14)</f>
        <v>0</v>
      </c>
      <c r="M20" s="7" t="str">
        <f t="shared" si="0"/>
        <v>NO</v>
      </c>
      <c r="N20" s="4" t="str">
        <f t="shared" si="1"/>
        <v>SIN NOVEDAD</v>
      </c>
      <c r="O20" s="4" t="str">
        <f t="array" ref="O20">_xlfn.TEXTJOIN(", ",TRUE(),IF(((((((ASISTENCIA!D20:W20)&lt;&gt;"")*((ASISTENCIA!D20:W20)=0)))+((((((ASISTENCIA!D20:W20)="X")+((ASISTENCIA!D20:W20)="R")))*((NOTAS!$D$1:$W$1)&lt;&gt;"")*((NOTAS!D20:W20)="")))+((ISNUMBER(NOTAS!D20:W20)*((NOTAS!D20:W20)&gt;=1)*((NOTAS!D20:W20)&lt;PARAMETROS!$B$13))))&gt;0),TEXT(ASISTENCIA!$D$1:$W$1,"DD/MM/YYYY"),""))</f>
        <v/>
      </c>
    </row>
    <row r="21" spans="1:15" ht="14.25" customHeight="1" x14ac:dyDescent="0.35">
      <c r="A21" s="7">
        <f>APRENDICES!A21</f>
        <v>20</v>
      </c>
      <c r="B21" s="7">
        <f>APRENDICES!B21</f>
        <v>0</v>
      </c>
      <c r="C21" s="4">
        <f>APRENDICES!C21</f>
        <v>0</v>
      </c>
      <c r="D21" s="7">
        <f>APRENDICES!D21</f>
        <v>0</v>
      </c>
      <c r="E21" s="7">
        <f>COUNTIF(ASISTENCIA!D21:W21,"X")</f>
        <v>0</v>
      </c>
      <c r="F21" s="7">
        <f>COUNTIF(ASISTENCIA!D21:W21,0)</f>
        <v>0</v>
      </c>
      <c r="G21" s="7">
        <f>COUNTIF(ASISTENCIA!D21:W21,"E")</f>
        <v>0</v>
      </c>
      <c r="H21" s="7">
        <f>COUNTIF(ASISTENCIA!D21:W21,"R")</f>
        <v>0</v>
      </c>
      <c r="I21" s="7">
        <f>SUMPRODUCT((((((ASISTENCIA!D21:W21)="X")+((ASISTENCIA!D21:W21)="R")))*((NOTAS!$D$1:$W$1)&lt;&gt;"")*((NOTAS!D21:W21)="")))</f>
        <v>0</v>
      </c>
      <c r="J21" s="7">
        <f>SUMPRODUCT((ISNUMBER(NOTAS!D21:W21)*((NOTAS!D21:W21)&gt;=1)*((NOTAS!D21:W21)&lt;PARAMETROS!$B$13)))</f>
        <v>0</v>
      </c>
      <c r="K21" s="7">
        <f>SUMPRODUCT(--((((((ASISTENCIA!D21:W21)&lt;&gt;"")*((ASISTENCIA!D21:W21)=0)))+((((((ASISTENCIA!D21:W21)="X")+((ASISTENCIA!D21:W21)="R")))*((NOTAS!$D$1:$W$1)&lt;&gt;"")*((NOTAS!D21:W21)="")))+((ISNUMBER(NOTAS!D21:W21)*((NOTAS!D21:W21)&gt;=1)*((NOTAS!D21:W21)&lt;PARAMETROS!$B$13))))&gt;0))</f>
        <v>0</v>
      </c>
      <c r="L21" s="7">
        <f>K21+INT(H21/PARAMETROS!$B$14)</f>
        <v>0</v>
      </c>
      <c r="M21" s="7" t="str">
        <f t="shared" si="0"/>
        <v>NO</v>
      </c>
      <c r="N21" s="4" t="str">
        <f t="shared" si="1"/>
        <v>SIN NOVEDAD</v>
      </c>
      <c r="O21" s="4" t="str">
        <f t="array" ref="O21">_xlfn.TEXTJOIN(", ",TRUE(),IF(((((((ASISTENCIA!D21:W21)&lt;&gt;"")*((ASISTENCIA!D21:W21)=0)))+((((((ASISTENCIA!D21:W21)="X")+((ASISTENCIA!D21:W21)="R")))*((NOTAS!$D$1:$W$1)&lt;&gt;"")*((NOTAS!D21:W21)="")))+((ISNUMBER(NOTAS!D21:W21)*((NOTAS!D21:W21)&gt;=1)*((NOTAS!D21:W21)&lt;PARAMETROS!$B$13))))&gt;0),TEXT(ASISTENCIA!$D$1:$W$1,"DD/MM/YYYY"),""))</f>
        <v/>
      </c>
    </row>
    <row r="22" spans="1:15" ht="14.25" customHeight="1" x14ac:dyDescent="0.35">
      <c r="A22" s="7">
        <f>APRENDICES!A22</f>
        <v>21</v>
      </c>
      <c r="B22" s="7">
        <f>APRENDICES!B22</f>
        <v>0</v>
      </c>
      <c r="C22" s="4">
        <f>APRENDICES!C22</f>
        <v>0</v>
      </c>
      <c r="D22" s="7">
        <f>APRENDICES!D22</f>
        <v>0</v>
      </c>
      <c r="E22" s="7">
        <f>COUNTIF(ASISTENCIA!D22:W22,"X")</f>
        <v>0</v>
      </c>
      <c r="F22" s="7">
        <f>COUNTIF(ASISTENCIA!D22:W22,0)</f>
        <v>0</v>
      </c>
      <c r="G22" s="7">
        <f>COUNTIF(ASISTENCIA!D22:W22,"E")</f>
        <v>0</v>
      </c>
      <c r="H22" s="7">
        <f>COUNTIF(ASISTENCIA!D22:W22,"R")</f>
        <v>0</v>
      </c>
      <c r="I22" s="7">
        <f>SUMPRODUCT((((((ASISTENCIA!D22:W22)="X")+((ASISTENCIA!D22:W22)="R")))*((NOTAS!$D$1:$W$1)&lt;&gt;"")*((NOTAS!D22:W22)="")))</f>
        <v>0</v>
      </c>
      <c r="J22" s="7">
        <f>SUMPRODUCT((ISNUMBER(NOTAS!D22:W22)*((NOTAS!D22:W22)&gt;=1)*((NOTAS!D22:W22)&lt;PARAMETROS!$B$13)))</f>
        <v>0</v>
      </c>
      <c r="K22" s="7">
        <f>SUMPRODUCT(--((((((ASISTENCIA!D22:W22)&lt;&gt;"")*((ASISTENCIA!D22:W22)=0)))+((((((ASISTENCIA!D22:W22)="X")+((ASISTENCIA!D22:W22)="R")))*((NOTAS!$D$1:$W$1)&lt;&gt;"")*((NOTAS!D22:W22)="")))+((ISNUMBER(NOTAS!D22:W22)*((NOTAS!D22:W22)&gt;=1)*((NOTAS!D22:W22)&lt;PARAMETROS!$B$13))))&gt;0))</f>
        <v>0</v>
      </c>
      <c r="L22" s="7">
        <f>K22+INT(H22/PARAMETROS!$B$14)</f>
        <v>0</v>
      </c>
      <c r="M22" s="7" t="str">
        <f t="shared" si="0"/>
        <v>NO</v>
      </c>
      <c r="N22" s="4" t="str">
        <f t="shared" si="1"/>
        <v>SIN NOVEDAD</v>
      </c>
      <c r="O22" s="4" t="str">
        <f t="array" ref="O22">_xlfn.TEXTJOIN(", ",TRUE(),IF(((((((ASISTENCIA!D22:W22)&lt;&gt;"")*((ASISTENCIA!D22:W22)=0)))+((((((ASISTENCIA!D22:W22)="X")+((ASISTENCIA!D22:W22)="R")))*((NOTAS!$D$1:$W$1)&lt;&gt;"")*((NOTAS!D22:W22)="")))+((ISNUMBER(NOTAS!D22:W22)*((NOTAS!D22:W22)&gt;=1)*((NOTAS!D22:W22)&lt;PARAMETROS!$B$13))))&gt;0),TEXT(ASISTENCIA!$D$1:$W$1,"DD/MM/YYYY"),""))</f>
        <v/>
      </c>
    </row>
    <row r="23" spans="1:15" ht="14.25" customHeight="1" x14ac:dyDescent="0.35">
      <c r="A23" s="7">
        <f>APRENDICES!A23</f>
        <v>22</v>
      </c>
      <c r="B23" s="7">
        <f>APRENDICES!B23</f>
        <v>0</v>
      </c>
      <c r="C23" s="4">
        <f>APRENDICES!C23</f>
        <v>0</v>
      </c>
      <c r="D23" s="7">
        <f>APRENDICES!D23</f>
        <v>0</v>
      </c>
      <c r="E23" s="7">
        <f>COUNTIF(ASISTENCIA!D23:W23,"X")</f>
        <v>0</v>
      </c>
      <c r="F23" s="7">
        <f>COUNTIF(ASISTENCIA!D23:W23,0)</f>
        <v>0</v>
      </c>
      <c r="G23" s="7">
        <f>COUNTIF(ASISTENCIA!D23:W23,"E")</f>
        <v>0</v>
      </c>
      <c r="H23" s="7">
        <f>COUNTIF(ASISTENCIA!D23:W23,"R")</f>
        <v>0</v>
      </c>
      <c r="I23" s="7">
        <f>SUMPRODUCT((((((ASISTENCIA!D23:W23)="X")+((ASISTENCIA!D23:W23)="R")))*((NOTAS!$D$1:$W$1)&lt;&gt;"")*((NOTAS!D23:W23)="")))</f>
        <v>0</v>
      </c>
      <c r="J23" s="7">
        <f>SUMPRODUCT((ISNUMBER(NOTAS!D23:W23)*((NOTAS!D23:W23)&gt;=1)*((NOTAS!D23:W23)&lt;PARAMETROS!$B$13)))</f>
        <v>0</v>
      </c>
      <c r="K23" s="7">
        <f>SUMPRODUCT(--((((((ASISTENCIA!D23:W23)&lt;&gt;"")*((ASISTENCIA!D23:W23)=0)))+((((((ASISTENCIA!D23:W23)="X")+((ASISTENCIA!D23:W23)="R")))*((NOTAS!$D$1:$W$1)&lt;&gt;"")*((NOTAS!D23:W23)="")))+((ISNUMBER(NOTAS!D23:W23)*((NOTAS!D23:W23)&gt;=1)*((NOTAS!D23:W23)&lt;PARAMETROS!$B$13))))&gt;0))</f>
        <v>0</v>
      </c>
      <c r="L23" s="7">
        <f>K23+INT(H23/PARAMETROS!$B$14)</f>
        <v>0</v>
      </c>
      <c r="M23" s="7" t="str">
        <f t="shared" si="0"/>
        <v>NO</v>
      </c>
      <c r="N23" s="4" t="str">
        <f t="shared" si="1"/>
        <v>SIN NOVEDAD</v>
      </c>
      <c r="O23" s="4" t="str">
        <f t="array" ref="O23">_xlfn.TEXTJOIN(", ",TRUE(),IF(((((((ASISTENCIA!D23:W23)&lt;&gt;"")*((ASISTENCIA!D23:W23)=0)))+((((((ASISTENCIA!D23:W23)="X")+((ASISTENCIA!D23:W23)="R")))*((NOTAS!$D$1:$W$1)&lt;&gt;"")*((NOTAS!D23:W23)="")))+((ISNUMBER(NOTAS!D23:W23)*((NOTAS!D23:W23)&gt;=1)*((NOTAS!D23:W23)&lt;PARAMETROS!$B$13))))&gt;0),TEXT(ASISTENCIA!$D$1:$W$1,"DD/MM/YYYY"),""))</f>
        <v/>
      </c>
    </row>
    <row r="24" spans="1:15" ht="14.25" customHeight="1" x14ac:dyDescent="0.35">
      <c r="A24" s="7">
        <f>APRENDICES!A24</f>
        <v>23</v>
      </c>
      <c r="B24" s="7">
        <f>APRENDICES!B24</f>
        <v>0</v>
      </c>
      <c r="C24" s="4">
        <f>APRENDICES!C24</f>
        <v>0</v>
      </c>
      <c r="D24" s="7">
        <f>APRENDICES!D24</f>
        <v>0</v>
      </c>
      <c r="E24" s="7">
        <f>COUNTIF(ASISTENCIA!D24:W24,"X")</f>
        <v>0</v>
      </c>
      <c r="F24" s="7">
        <f>COUNTIF(ASISTENCIA!D24:W24,0)</f>
        <v>0</v>
      </c>
      <c r="G24" s="7">
        <f>COUNTIF(ASISTENCIA!D24:W24,"E")</f>
        <v>0</v>
      </c>
      <c r="H24" s="7">
        <f>COUNTIF(ASISTENCIA!D24:W24,"R")</f>
        <v>0</v>
      </c>
      <c r="I24" s="7">
        <f>SUMPRODUCT((((((ASISTENCIA!D24:W24)="X")+((ASISTENCIA!D24:W24)="R")))*((NOTAS!$D$1:$W$1)&lt;&gt;"")*((NOTAS!D24:W24)="")))</f>
        <v>0</v>
      </c>
      <c r="J24" s="7">
        <f>SUMPRODUCT((ISNUMBER(NOTAS!D24:W24)*((NOTAS!D24:W24)&gt;=1)*((NOTAS!D24:W24)&lt;PARAMETROS!$B$13)))</f>
        <v>0</v>
      </c>
      <c r="K24" s="7">
        <f>SUMPRODUCT(--((((((ASISTENCIA!D24:W24)&lt;&gt;"")*((ASISTENCIA!D24:W24)=0)))+((((((ASISTENCIA!D24:W24)="X")+((ASISTENCIA!D24:W24)="R")))*((NOTAS!$D$1:$W$1)&lt;&gt;"")*((NOTAS!D24:W24)="")))+((ISNUMBER(NOTAS!D24:W24)*((NOTAS!D24:W24)&gt;=1)*((NOTAS!D24:W24)&lt;PARAMETROS!$B$13))))&gt;0))</f>
        <v>0</v>
      </c>
      <c r="L24" s="7">
        <f>K24+INT(H24/PARAMETROS!$B$14)</f>
        <v>0</v>
      </c>
      <c r="M24" s="7" t="str">
        <f t="shared" si="0"/>
        <v>NO</v>
      </c>
      <c r="N24" s="4" t="str">
        <f t="shared" si="1"/>
        <v>SIN NOVEDAD</v>
      </c>
      <c r="O24" s="4" t="str">
        <f t="array" ref="O24">_xlfn.TEXTJOIN(", ",TRUE(),IF(((((((ASISTENCIA!D24:W24)&lt;&gt;"")*((ASISTENCIA!D24:W24)=0)))+((((((ASISTENCIA!D24:W24)="X")+((ASISTENCIA!D24:W24)="R")))*((NOTAS!$D$1:$W$1)&lt;&gt;"")*((NOTAS!D24:W24)="")))+((ISNUMBER(NOTAS!D24:W24)*((NOTAS!D24:W24)&gt;=1)*((NOTAS!D24:W24)&lt;PARAMETROS!$B$13))))&gt;0),TEXT(ASISTENCIA!$D$1:$W$1,"DD/MM/YYYY"),""))</f>
        <v/>
      </c>
    </row>
    <row r="25" spans="1:15" ht="14.25" customHeight="1" x14ac:dyDescent="0.35">
      <c r="A25" s="7">
        <f>APRENDICES!A25</f>
        <v>24</v>
      </c>
      <c r="B25" s="7">
        <f>APRENDICES!B25</f>
        <v>0</v>
      </c>
      <c r="C25" s="4">
        <f>APRENDICES!C25</f>
        <v>0</v>
      </c>
      <c r="D25" s="7">
        <f>APRENDICES!D25</f>
        <v>0</v>
      </c>
      <c r="E25" s="7">
        <f>COUNTIF(ASISTENCIA!D25:W25,"X")</f>
        <v>0</v>
      </c>
      <c r="F25" s="7">
        <f>COUNTIF(ASISTENCIA!D25:W25,0)</f>
        <v>0</v>
      </c>
      <c r="G25" s="7">
        <f>COUNTIF(ASISTENCIA!D25:W25,"E")</f>
        <v>0</v>
      </c>
      <c r="H25" s="7">
        <f>COUNTIF(ASISTENCIA!D25:W25,"R")</f>
        <v>0</v>
      </c>
      <c r="I25" s="7">
        <f>SUMPRODUCT((((((ASISTENCIA!D25:W25)="X")+((ASISTENCIA!D25:W25)="R")))*((NOTAS!$D$1:$W$1)&lt;&gt;"")*((NOTAS!D25:W25)="")))</f>
        <v>0</v>
      </c>
      <c r="J25" s="7">
        <f>SUMPRODUCT((ISNUMBER(NOTAS!D25:W25)*((NOTAS!D25:W25)&gt;=1)*((NOTAS!D25:W25)&lt;PARAMETROS!$B$13)))</f>
        <v>0</v>
      </c>
      <c r="K25" s="7">
        <f>SUMPRODUCT(--((((((ASISTENCIA!D25:W25)&lt;&gt;"")*((ASISTENCIA!D25:W25)=0)))+((((((ASISTENCIA!D25:W25)="X")+((ASISTENCIA!D25:W25)="R")))*((NOTAS!$D$1:$W$1)&lt;&gt;"")*((NOTAS!D25:W25)="")))+((ISNUMBER(NOTAS!D25:W25)*((NOTAS!D25:W25)&gt;=1)*((NOTAS!D25:W25)&lt;PARAMETROS!$B$13))))&gt;0))</f>
        <v>0</v>
      </c>
      <c r="L25" s="7">
        <f>K25+INT(H25/PARAMETROS!$B$14)</f>
        <v>0</v>
      </c>
      <c r="M25" s="7" t="str">
        <f t="shared" si="0"/>
        <v>NO</v>
      </c>
      <c r="N25" s="4" t="str">
        <f t="shared" si="1"/>
        <v>SIN NOVEDAD</v>
      </c>
      <c r="O25" s="4" t="str">
        <f t="array" ref="O25">_xlfn.TEXTJOIN(", ",TRUE(),IF(((((((ASISTENCIA!D25:W25)&lt;&gt;"")*((ASISTENCIA!D25:W25)=0)))+((((((ASISTENCIA!D25:W25)="X")+((ASISTENCIA!D25:W25)="R")))*((NOTAS!$D$1:$W$1)&lt;&gt;"")*((NOTAS!D25:W25)="")))+((ISNUMBER(NOTAS!D25:W25)*((NOTAS!D25:W25)&gt;=1)*((NOTAS!D25:W25)&lt;PARAMETROS!$B$13))))&gt;0),TEXT(ASISTENCIA!$D$1:$W$1,"DD/MM/YYYY"),""))</f>
        <v/>
      </c>
    </row>
    <row r="26" spans="1:15" ht="14.25" customHeight="1" x14ac:dyDescent="0.35">
      <c r="A26" s="7">
        <f>APRENDICES!A26</f>
        <v>25</v>
      </c>
      <c r="B26" s="7">
        <f>APRENDICES!B26</f>
        <v>0</v>
      </c>
      <c r="C26" s="4">
        <f>APRENDICES!C26</f>
        <v>0</v>
      </c>
      <c r="D26" s="7">
        <f>APRENDICES!D26</f>
        <v>0</v>
      </c>
      <c r="E26" s="7">
        <f>COUNTIF(ASISTENCIA!D26:W26,"X")</f>
        <v>0</v>
      </c>
      <c r="F26" s="7">
        <f>COUNTIF(ASISTENCIA!D26:W26,0)</f>
        <v>0</v>
      </c>
      <c r="G26" s="7">
        <f>COUNTIF(ASISTENCIA!D26:W26,"E")</f>
        <v>0</v>
      </c>
      <c r="H26" s="7">
        <f>COUNTIF(ASISTENCIA!D26:W26,"R")</f>
        <v>0</v>
      </c>
      <c r="I26" s="7">
        <f>SUMPRODUCT((((((ASISTENCIA!D26:W26)="X")+((ASISTENCIA!D26:W26)="R")))*((NOTAS!$D$1:$W$1)&lt;&gt;"")*((NOTAS!D26:W26)="")))</f>
        <v>0</v>
      </c>
      <c r="J26" s="7">
        <f>SUMPRODUCT((ISNUMBER(NOTAS!D26:W26)*((NOTAS!D26:W26)&gt;=1)*((NOTAS!D26:W26)&lt;PARAMETROS!$B$13)))</f>
        <v>0</v>
      </c>
      <c r="K26" s="7">
        <f>SUMPRODUCT(--((((((ASISTENCIA!D26:W26)&lt;&gt;"")*((ASISTENCIA!D26:W26)=0)))+((((((ASISTENCIA!D26:W26)="X")+((ASISTENCIA!D26:W26)="R")))*((NOTAS!$D$1:$W$1)&lt;&gt;"")*((NOTAS!D26:W26)="")))+((ISNUMBER(NOTAS!D26:W26)*((NOTAS!D26:W26)&gt;=1)*((NOTAS!D26:W26)&lt;PARAMETROS!$B$13))))&gt;0))</f>
        <v>0</v>
      </c>
      <c r="L26" s="7">
        <f>K26+INT(H26/PARAMETROS!$B$14)</f>
        <v>0</v>
      </c>
      <c r="M26" s="7" t="str">
        <f t="shared" si="0"/>
        <v>NO</v>
      </c>
      <c r="N26" s="4" t="str">
        <f t="shared" si="1"/>
        <v>SIN NOVEDAD</v>
      </c>
      <c r="O26" s="4" t="str">
        <f t="array" ref="O26">_xlfn.TEXTJOIN(", ",TRUE(),IF(((((((ASISTENCIA!D26:W26)&lt;&gt;"")*((ASISTENCIA!D26:W26)=0)))+((((((ASISTENCIA!D26:W26)="X")+((ASISTENCIA!D26:W26)="R")))*((NOTAS!$D$1:$W$1)&lt;&gt;"")*((NOTAS!D26:W26)="")))+((ISNUMBER(NOTAS!D26:W26)*((NOTAS!D26:W26)&gt;=1)*((NOTAS!D26:W26)&lt;PARAMETROS!$B$13))))&gt;0),TEXT(ASISTENCIA!$D$1:$W$1,"DD/MM/YYYY"),""))</f>
        <v/>
      </c>
    </row>
    <row r="27" spans="1:15" ht="14.25" customHeight="1" x14ac:dyDescent="0.35">
      <c r="A27" s="7">
        <f>APRENDICES!A27</f>
        <v>26</v>
      </c>
      <c r="B27" s="7">
        <f>APRENDICES!B27</f>
        <v>0</v>
      </c>
      <c r="C27" s="4">
        <f>APRENDICES!C27</f>
        <v>0</v>
      </c>
      <c r="D27" s="7">
        <f>APRENDICES!D27</f>
        <v>0</v>
      </c>
      <c r="E27" s="7">
        <f>COUNTIF(ASISTENCIA!D27:W27,"X")</f>
        <v>0</v>
      </c>
      <c r="F27" s="7">
        <f>COUNTIF(ASISTENCIA!D27:W27,0)</f>
        <v>0</v>
      </c>
      <c r="G27" s="7">
        <f>COUNTIF(ASISTENCIA!D27:W27,"E")</f>
        <v>0</v>
      </c>
      <c r="H27" s="7">
        <f>COUNTIF(ASISTENCIA!D27:W27,"R")</f>
        <v>0</v>
      </c>
      <c r="I27" s="7">
        <f>SUMPRODUCT((((((ASISTENCIA!D27:W27)="X")+((ASISTENCIA!D27:W27)="R")))*((NOTAS!$D$1:$W$1)&lt;&gt;"")*((NOTAS!D27:W27)="")))</f>
        <v>0</v>
      </c>
      <c r="J27" s="7">
        <f>SUMPRODUCT((ISNUMBER(NOTAS!D27:W27)*((NOTAS!D27:W27)&gt;=1)*((NOTAS!D27:W27)&lt;PARAMETROS!$B$13)))</f>
        <v>0</v>
      </c>
      <c r="K27" s="7">
        <f>SUMPRODUCT(--((((((ASISTENCIA!D27:W27)&lt;&gt;"")*((ASISTENCIA!D27:W27)=0)))+((((((ASISTENCIA!D27:W27)="X")+((ASISTENCIA!D27:W27)="R")))*((NOTAS!$D$1:$W$1)&lt;&gt;"")*((NOTAS!D27:W27)="")))+((ISNUMBER(NOTAS!D27:W27)*((NOTAS!D27:W27)&gt;=1)*((NOTAS!D27:W27)&lt;PARAMETROS!$B$13))))&gt;0))</f>
        <v>0</v>
      </c>
      <c r="L27" s="7">
        <f>K27+INT(H27/PARAMETROS!$B$14)</f>
        <v>0</v>
      </c>
      <c r="M27" s="7" t="str">
        <f t="shared" si="0"/>
        <v>NO</v>
      </c>
      <c r="N27" s="4" t="str">
        <f t="shared" si="1"/>
        <v>SIN NOVEDAD</v>
      </c>
      <c r="O27" s="4" t="str">
        <f t="array" ref="O27">_xlfn.TEXTJOIN(", ",TRUE(),IF(((((((ASISTENCIA!D27:W27)&lt;&gt;"")*((ASISTENCIA!D27:W27)=0)))+((((((ASISTENCIA!D27:W27)="X")+((ASISTENCIA!D27:W27)="R")))*((NOTAS!$D$1:$W$1)&lt;&gt;"")*((NOTAS!D27:W27)="")))+((ISNUMBER(NOTAS!D27:W27)*((NOTAS!D27:W27)&gt;=1)*((NOTAS!D27:W27)&lt;PARAMETROS!$B$13))))&gt;0),TEXT(ASISTENCIA!$D$1:$W$1,"DD/MM/YYYY"),""))</f>
        <v/>
      </c>
    </row>
    <row r="28" spans="1:15" ht="14.25" customHeight="1" x14ac:dyDescent="0.35">
      <c r="A28" s="7">
        <f>APRENDICES!A28</f>
        <v>27</v>
      </c>
      <c r="B28" s="7">
        <f>APRENDICES!B28</f>
        <v>0</v>
      </c>
      <c r="C28" s="4">
        <f>APRENDICES!C28</f>
        <v>0</v>
      </c>
      <c r="D28" s="7">
        <f>APRENDICES!D28</f>
        <v>0</v>
      </c>
      <c r="E28" s="7">
        <f>COUNTIF(ASISTENCIA!D28:W28,"X")</f>
        <v>0</v>
      </c>
      <c r="F28" s="7">
        <f>COUNTIF(ASISTENCIA!D28:W28,0)</f>
        <v>0</v>
      </c>
      <c r="G28" s="7">
        <f>COUNTIF(ASISTENCIA!D28:W28,"E")</f>
        <v>0</v>
      </c>
      <c r="H28" s="7">
        <f>COUNTIF(ASISTENCIA!D28:W28,"R")</f>
        <v>0</v>
      </c>
      <c r="I28" s="7">
        <f>SUMPRODUCT((((((ASISTENCIA!D28:W28)="X")+((ASISTENCIA!D28:W28)="R")))*((NOTAS!$D$1:$W$1)&lt;&gt;"")*((NOTAS!D28:W28)="")))</f>
        <v>0</v>
      </c>
      <c r="J28" s="7">
        <f>SUMPRODUCT((ISNUMBER(NOTAS!D28:W28)*((NOTAS!D28:W28)&gt;=1)*((NOTAS!D28:W28)&lt;PARAMETROS!$B$13)))</f>
        <v>0</v>
      </c>
      <c r="K28" s="7">
        <f>SUMPRODUCT(--((((((ASISTENCIA!D28:W28)&lt;&gt;"")*((ASISTENCIA!D28:W28)=0)))+((((((ASISTENCIA!D28:W28)="X")+((ASISTENCIA!D28:W28)="R")))*((NOTAS!$D$1:$W$1)&lt;&gt;"")*((NOTAS!D28:W28)="")))+((ISNUMBER(NOTAS!D28:W28)*((NOTAS!D28:W28)&gt;=1)*((NOTAS!D28:W28)&lt;PARAMETROS!$B$13))))&gt;0))</f>
        <v>0</v>
      </c>
      <c r="L28" s="7">
        <f>K28+INT(H28/PARAMETROS!$B$14)</f>
        <v>0</v>
      </c>
      <c r="M28" s="7" t="str">
        <f t="shared" si="0"/>
        <v>NO</v>
      </c>
      <c r="N28" s="4" t="str">
        <f t="shared" si="1"/>
        <v>SIN NOVEDAD</v>
      </c>
      <c r="O28" s="4" t="str">
        <f t="array" ref="O28">_xlfn.TEXTJOIN(", ",TRUE(),IF(((((((ASISTENCIA!D28:W28)&lt;&gt;"")*((ASISTENCIA!D28:W28)=0)))+((((((ASISTENCIA!D28:W28)="X")+((ASISTENCIA!D28:W28)="R")))*((NOTAS!$D$1:$W$1)&lt;&gt;"")*((NOTAS!D28:W28)="")))+((ISNUMBER(NOTAS!D28:W28)*((NOTAS!D28:W28)&gt;=1)*((NOTAS!D28:W28)&lt;PARAMETROS!$B$13))))&gt;0),TEXT(ASISTENCIA!$D$1:$W$1,"DD/MM/YYYY"),""))</f>
        <v/>
      </c>
    </row>
    <row r="29" spans="1:15" ht="14.25" customHeight="1" x14ac:dyDescent="0.35">
      <c r="A29" s="7">
        <f>APRENDICES!A29</f>
        <v>28</v>
      </c>
      <c r="B29" s="7">
        <f>APRENDICES!B29</f>
        <v>0</v>
      </c>
      <c r="C29" s="4">
        <f>APRENDICES!C29</f>
        <v>0</v>
      </c>
      <c r="D29" s="7">
        <f>APRENDICES!D29</f>
        <v>0</v>
      </c>
      <c r="E29" s="7">
        <f>COUNTIF(ASISTENCIA!D29:W29,"X")</f>
        <v>0</v>
      </c>
      <c r="F29" s="7">
        <f>COUNTIF(ASISTENCIA!D29:W29,0)</f>
        <v>0</v>
      </c>
      <c r="G29" s="7">
        <f>COUNTIF(ASISTENCIA!D29:W29,"E")</f>
        <v>0</v>
      </c>
      <c r="H29" s="7">
        <f>COUNTIF(ASISTENCIA!D29:W29,"R")</f>
        <v>0</v>
      </c>
      <c r="I29" s="7">
        <f>SUMPRODUCT((((((ASISTENCIA!D29:W29)="X")+((ASISTENCIA!D29:W29)="R")))*((NOTAS!$D$1:$W$1)&lt;&gt;"")*((NOTAS!D29:W29)="")))</f>
        <v>0</v>
      </c>
      <c r="J29" s="7">
        <f>SUMPRODUCT((ISNUMBER(NOTAS!D29:W29)*((NOTAS!D29:W29)&gt;=1)*((NOTAS!D29:W29)&lt;PARAMETROS!$B$13)))</f>
        <v>0</v>
      </c>
      <c r="K29" s="7">
        <f>SUMPRODUCT(--((((((ASISTENCIA!D29:W29)&lt;&gt;"")*((ASISTENCIA!D29:W29)=0)))+((((((ASISTENCIA!D29:W29)="X")+((ASISTENCIA!D29:W29)="R")))*((NOTAS!$D$1:$W$1)&lt;&gt;"")*((NOTAS!D29:W29)="")))+((ISNUMBER(NOTAS!D29:W29)*((NOTAS!D29:W29)&gt;=1)*((NOTAS!D29:W29)&lt;PARAMETROS!$B$13))))&gt;0))</f>
        <v>0</v>
      </c>
      <c r="L29" s="7">
        <f>K29+INT(H29/PARAMETROS!$B$14)</f>
        <v>0</v>
      </c>
      <c r="M29" s="7" t="str">
        <f t="shared" si="0"/>
        <v>NO</v>
      </c>
      <c r="N29" s="4" t="str">
        <f t="shared" si="1"/>
        <v>SIN NOVEDAD</v>
      </c>
      <c r="O29" s="4" t="str">
        <f t="array" ref="O29">_xlfn.TEXTJOIN(", ",TRUE(),IF(((((((ASISTENCIA!D29:W29)&lt;&gt;"")*((ASISTENCIA!D29:W29)=0)))+((((((ASISTENCIA!D29:W29)="X")+((ASISTENCIA!D29:W29)="R")))*((NOTAS!$D$1:$W$1)&lt;&gt;"")*((NOTAS!D29:W29)="")))+((ISNUMBER(NOTAS!D29:W29)*((NOTAS!D29:W29)&gt;=1)*((NOTAS!D29:W29)&lt;PARAMETROS!$B$13))))&gt;0),TEXT(ASISTENCIA!$D$1:$W$1,"DD/MM/YYYY"),""))</f>
        <v/>
      </c>
    </row>
    <row r="30" spans="1:15" ht="14.25" customHeight="1" x14ac:dyDescent="0.35">
      <c r="A30" s="7">
        <f>APRENDICES!A30</f>
        <v>29</v>
      </c>
      <c r="B30" s="7">
        <f>APRENDICES!B30</f>
        <v>0</v>
      </c>
      <c r="C30" s="4">
        <f>APRENDICES!C30</f>
        <v>0</v>
      </c>
      <c r="D30" s="7">
        <f>APRENDICES!D30</f>
        <v>0</v>
      </c>
      <c r="E30" s="7">
        <f>COUNTIF(ASISTENCIA!D30:W30,"X")</f>
        <v>0</v>
      </c>
      <c r="F30" s="7">
        <f>COUNTIF(ASISTENCIA!D30:W30,0)</f>
        <v>0</v>
      </c>
      <c r="G30" s="7">
        <f>COUNTIF(ASISTENCIA!D30:W30,"E")</f>
        <v>0</v>
      </c>
      <c r="H30" s="7">
        <f>COUNTIF(ASISTENCIA!D30:W30,"R")</f>
        <v>0</v>
      </c>
      <c r="I30" s="7">
        <f>SUMPRODUCT((((((ASISTENCIA!D30:W30)="X")+((ASISTENCIA!D30:W30)="R")))*((NOTAS!$D$1:$W$1)&lt;&gt;"")*((NOTAS!D30:W30)="")))</f>
        <v>0</v>
      </c>
      <c r="J30" s="7">
        <f>SUMPRODUCT((ISNUMBER(NOTAS!D30:W30)*((NOTAS!D30:W30)&gt;=1)*((NOTAS!D30:W30)&lt;PARAMETROS!$B$13)))</f>
        <v>0</v>
      </c>
      <c r="K30" s="7">
        <f>SUMPRODUCT(--((((((ASISTENCIA!D30:W30)&lt;&gt;"")*((ASISTENCIA!D30:W30)=0)))+((((((ASISTENCIA!D30:W30)="X")+((ASISTENCIA!D30:W30)="R")))*((NOTAS!$D$1:$W$1)&lt;&gt;"")*((NOTAS!D30:W30)="")))+((ISNUMBER(NOTAS!D30:W30)*((NOTAS!D30:W30)&gt;=1)*((NOTAS!D30:W30)&lt;PARAMETROS!$B$13))))&gt;0))</f>
        <v>0</v>
      </c>
      <c r="L30" s="7">
        <f>K30+INT(H30/PARAMETROS!$B$14)</f>
        <v>0</v>
      </c>
      <c r="M30" s="7" t="str">
        <f t="shared" si="0"/>
        <v>NO</v>
      </c>
      <c r="N30" s="4" t="str">
        <f t="shared" si="1"/>
        <v>SIN NOVEDAD</v>
      </c>
      <c r="O30" s="4" t="str">
        <f t="array" ref="O30">_xlfn.TEXTJOIN(", ",TRUE(),IF(((((((ASISTENCIA!D30:W30)&lt;&gt;"")*((ASISTENCIA!D30:W30)=0)))+((((((ASISTENCIA!D30:W30)="X")+((ASISTENCIA!D30:W30)="R")))*((NOTAS!$D$1:$W$1)&lt;&gt;"")*((NOTAS!D30:W30)="")))+((ISNUMBER(NOTAS!D30:W30)*((NOTAS!D30:W30)&gt;=1)*((NOTAS!D30:W30)&lt;PARAMETROS!$B$13))))&gt;0),TEXT(ASISTENCIA!$D$1:$W$1,"DD/MM/YYYY"),""))</f>
        <v/>
      </c>
    </row>
    <row r="31" spans="1:15" ht="14.25" customHeight="1" x14ac:dyDescent="0.35">
      <c r="A31" s="7">
        <f>APRENDICES!A31</f>
        <v>30</v>
      </c>
      <c r="B31" s="7">
        <f>APRENDICES!B31</f>
        <v>0</v>
      </c>
      <c r="C31" s="4">
        <f>APRENDICES!C31</f>
        <v>0</v>
      </c>
      <c r="D31" s="7">
        <f>APRENDICES!D31</f>
        <v>0</v>
      </c>
      <c r="E31" s="7">
        <f>COUNTIF(ASISTENCIA!D31:W31,"X")</f>
        <v>0</v>
      </c>
      <c r="F31" s="7">
        <f>COUNTIF(ASISTENCIA!D31:W31,0)</f>
        <v>0</v>
      </c>
      <c r="G31" s="7">
        <f>COUNTIF(ASISTENCIA!D31:W31,"E")</f>
        <v>0</v>
      </c>
      <c r="H31" s="7">
        <f>COUNTIF(ASISTENCIA!D31:W31,"R")</f>
        <v>0</v>
      </c>
      <c r="I31" s="7">
        <f>SUMPRODUCT((((((ASISTENCIA!D31:W31)="X")+((ASISTENCIA!D31:W31)="R")))*((NOTAS!$D$1:$W$1)&lt;&gt;"")*((NOTAS!D31:W31)="")))</f>
        <v>0</v>
      </c>
      <c r="J31" s="7">
        <f>SUMPRODUCT((ISNUMBER(NOTAS!D31:W31)*((NOTAS!D31:W31)&gt;=1)*((NOTAS!D31:W31)&lt;PARAMETROS!$B$13)))</f>
        <v>0</v>
      </c>
      <c r="K31" s="7">
        <f>SUMPRODUCT(--((((((ASISTENCIA!D31:W31)&lt;&gt;"")*((ASISTENCIA!D31:W31)=0)))+((((((ASISTENCIA!D31:W31)="X")+((ASISTENCIA!D31:W31)="R")))*((NOTAS!$D$1:$W$1)&lt;&gt;"")*((NOTAS!D31:W31)="")))+((ISNUMBER(NOTAS!D31:W31)*((NOTAS!D31:W31)&gt;=1)*((NOTAS!D31:W31)&lt;PARAMETROS!$B$13))))&gt;0))</f>
        <v>0</v>
      </c>
      <c r="L31" s="7">
        <f>K31+INT(H31/PARAMETROS!$B$14)</f>
        <v>0</v>
      </c>
      <c r="M31" s="7" t="str">
        <f t="shared" si="0"/>
        <v>NO</v>
      </c>
      <c r="N31" s="4" t="str">
        <f t="shared" si="1"/>
        <v>SIN NOVEDAD</v>
      </c>
      <c r="O31" s="4" t="str">
        <f t="array" ref="O31">_xlfn.TEXTJOIN(", ",TRUE(),IF(((((((ASISTENCIA!D31:W31)&lt;&gt;"")*((ASISTENCIA!D31:W31)=0)))+((((((ASISTENCIA!D31:W31)="X")+((ASISTENCIA!D31:W31)="R")))*((NOTAS!$D$1:$W$1)&lt;&gt;"")*((NOTAS!D31:W31)="")))+((ISNUMBER(NOTAS!D31:W31)*((NOTAS!D31:W31)&gt;=1)*((NOTAS!D31:W31)&lt;PARAMETROS!$B$13))))&gt;0),TEXT(ASISTENCIA!$D$1:$W$1,"DD/MM/YYYY"),""))</f>
        <v/>
      </c>
    </row>
    <row r="32" spans="1:15" ht="14.25" customHeight="1" x14ac:dyDescent="0.35">
      <c r="A32" s="7">
        <f>APRENDICES!A32</f>
        <v>31</v>
      </c>
      <c r="B32" s="7">
        <f>APRENDICES!B32</f>
        <v>0</v>
      </c>
      <c r="C32" s="4">
        <f>APRENDICES!C32</f>
        <v>0</v>
      </c>
      <c r="D32" s="7">
        <f>APRENDICES!D32</f>
        <v>0</v>
      </c>
      <c r="E32" s="7">
        <f>COUNTIF(ASISTENCIA!D32:W32,"X")</f>
        <v>0</v>
      </c>
      <c r="F32" s="7">
        <f>COUNTIF(ASISTENCIA!D32:W32,0)</f>
        <v>0</v>
      </c>
      <c r="G32" s="7">
        <f>COUNTIF(ASISTENCIA!D32:W32,"E")</f>
        <v>0</v>
      </c>
      <c r="H32" s="7">
        <f>COUNTIF(ASISTENCIA!D32:W32,"R")</f>
        <v>0</v>
      </c>
      <c r="I32" s="7">
        <f>SUMPRODUCT((((((ASISTENCIA!D32:W32)="X")+((ASISTENCIA!D32:W32)="R")))*((NOTAS!$D$1:$W$1)&lt;&gt;"")*((NOTAS!D32:W32)="")))</f>
        <v>0</v>
      </c>
      <c r="J32" s="7">
        <f>SUMPRODUCT((ISNUMBER(NOTAS!D32:W32)*((NOTAS!D32:W32)&gt;=1)*((NOTAS!D32:W32)&lt;PARAMETROS!$B$13)))</f>
        <v>0</v>
      </c>
      <c r="K32" s="7">
        <f>SUMPRODUCT(--((((((ASISTENCIA!D32:W32)&lt;&gt;"")*((ASISTENCIA!D32:W32)=0)))+((((((ASISTENCIA!D32:W32)="X")+((ASISTENCIA!D32:W32)="R")))*((NOTAS!$D$1:$W$1)&lt;&gt;"")*((NOTAS!D32:W32)="")))+((ISNUMBER(NOTAS!D32:W32)*((NOTAS!D32:W32)&gt;=1)*((NOTAS!D32:W32)&lt;PARAMETROS!$B$13))))&gt;0))</f>
        <v>0</v>
      </c>
      <c r="L32" s="7">
        <f>K32+INT(H32/PARAMETROS!$B$14)</f>
        <v>0</v>
      </c>
      <c r="M32" s="7" t="str">
        <f t="shared" si="0"/>
        <v>NO</v>
      </c>
      <c r="N32" s="4" t="str">
        <f t="shared" si="1"/>
        <v>SIN NOVEDAD</v>
      </c>
      <c r="O32" s="4" t="str">
        <f t="array" ref="O32">_xlfn.TEXTJOIN(", ",TRUE(),IF(((((((ASISTENCIA!D32:W32)&lt;&gt;"")*((ASISTENCIA!D32:W32)=0)))+((((((ASISTENCIA!D32:W32)="X")+((ASISTENCIA!D32:W32)="R")))*((NOTAS!$D$1:$W$1)&lt;&gt;"")*((NOTAS!D32:W32)="")))+((ISNUMBER(NOTAS!D32:W32)*((NOTAS!D32:W32)&gt;=1)*((NOTAS!D32:W32)&lt;PARAMETROS!$B$13))))&gt;0),TEXT(ASISTENCIA!$D$1:$W$1,"DD/MM/YYYY"),""))</f>
        <v/>
      </c>
    </row>
    <row r="33" spans="1:15" ht="14.25" customHeight="1" x14ac:dyDescent="0.35">
      <c r="A33" s="7">
        <f>APRENDICES!A33</f>
        <v>32</v>
      </c>
      <c r="B33" s="7">
        <f>APRENDICES!B33</f>
        <v>0</v>
      </c>
      <c r="C33" s="4">
        <f>APRENDICES!C33</f>
        <v>0</v>
      </c>
      <c r="D33" s="7">
        <f>APRENDICES!D33</f>
        <v>0</v>
      </c>
      <c r="E33" s="7">
        <f>COUNTIF(ASISTENCIA!D33:W33,"X")</f>
        <v>0</v>
      </c>
      <c r="F33" s="7">
        <f>COUNTIF(ASISTENCIA!D33:W33,0)</f>
        <v>0</v>
      </c>
      <c r="G33" s="7">
        <f>COUNTIF(ASISTENCIA!D33:W33,"E")</f>
        <v>0</v>
      </c>
      <c r="H33" s="7">
        <f>COUNTIF(ASISTENCIA!D33:W33,"R")</f>
        <v>0</v>
      </c>
      <c r="I33" s="7">
        <f>SUMPRODUCT((((((ASISTENCIA!D33:W33)="X")+((ASISTENCIA!D33:W33)="R")))*((NOTAS!$D$1:$W$1)&lt;&gt;"")*((NOTAS!D33:W33)="")))</f>
        <v>0</v>
      </c>
      <c r="J33" s="7">
        <f>SUMPRODUCT((ISNUMBER(NOTAS!D33:W33)*((NOTAS!D33:W33)&gt;=1)*((NOTAS!D33:W33)&lt;PARAMETROS!$B$13)))</f>
        <v>0</v>
      </c>
      <c r="K33" s="7">
        <f>SUMPRODUCT(--((((((ASISTENCIA!D33:W33)&lt;&gt;"")*((ASISTENCIA!D33:W33)=0)))+((((((ASISTENCIA!D33:W33)="X")+((ASISTENCIA!D33:W33)="R")))*((NOTAS!$D$1:$W$1)&lt;&gt;"")*((NOTAS!D33:W33)="")))+((ISNUMBER(NOTAS!D33:W33)*((NOTAS!D33:W33)&gt;=1)*((NOTAS!D33:W33)&lt;PARAMETROS!$B$13))))&gt;0))</f>
        <v>0</v>
      </c>
      <c r="L33" s="7">
        <f>K33+INT(H33/PARAMETROS!$B$14)</f>
        <v>0</v>
      </c>
      <c r="M33" s="7" t="str">
        <f t="shared" si="0"/>
        <v>NO</v>
      </c>
      <c r="N33" s="4" t="str">
        <f t="shared" si="1"/>
        <v>SIN NOVEDAD</v>
      </c>
      <c r="O33" s="4" t="str">
        <f t="array" ref="O33">_xlfn.TEXTJOIN(", ",TRUE(),IF(((((((ASISTENCIA!D33:W33)&lt;&gt;"")*((ASISTENCIA!D33:W33)=0)))+((((((ASISTENCIA!D33:W33)="X")+((ASISTENCIA!D33:W33)="R")))*((NOTAS!$D$1:$W$1)&lt;&gt;"")*((NOTAS!D33:W33)="")))+((ISNUMBER(NOTAS!D33:W33)*((NOTAS!D33:W33)&gt;=1)*((NOTAS!D33:W33)&lt;PARAMETROS!$B$13))))&gt;0),TEXT(ASISTENCIA!$D$1:$W$1,"DD/MM/YYYY"),""))</f>
        <v/>
      </c>
    </row>
    <row r="34" spans="1:15" ht="14.25" customHeight="1" x14ac:dyDescent="0.35">
      <c r="A34" s="7">
        <f>APRENDICES!A34</f>
        <v>33</v>
      </c>
      <c r="B34" s="7">
        <f>APRENDICES!B34</f>
        <v>0</v>
      </c>
      <c r="C34" s="4">
        <f>APRENDICES!C34</f>
        <v>0</v>
      </c>
      <c r="D34" s="7">
        <f>APRENDICES!D34</f>
        <v>0</v>
      </c>
      <c r="E34" s="7">
        <f>COUNTIF(ASISTENCIA!D34:W34,"X")</f>
        <v>0</v>
      </c>
      <c r="F34" s="7">
        <f>COUNTIF(ASISTENCIA!D34:W34,0)</f>
        <v>0</v>
      </c>
      <c r="G34" s="7">
        <f>COUNTIF(ASISTENCIA!D34:W34,"E")</f>
        <v>0</v>
      </c>
      <c r="H34" s="7">
        <f>COUNTIF(ASISTENCIA!D34:W34,"R")</f>
        <v>0</v>
      </c>
      <c r="I34" s="7">
        <f>SUMPRODUCT((((((ASISTENCIA!D34:W34)="X")+((ASISTENCIA!D34:W34)="R")))*((NOTAS!$D$1:$W$1)&lt;&gt;"")*((NOTAS!D34:W34)="")))</f>
        <v>0</v>
      </c>
      <c r="J34" s="7">
        <f>SUMPRODUCT((ISNUMBER(NOTAS!D34:W34)*((NOTAS!D34:W34)&gt;=1)*((NOTAS!D34:W34)&lt;PARAMETROS!$B$13)))</f>
        <v>0</v>
      </c>
      <c r="K34" s="7">
        <f>SUMPRODUCT(--((((((ASISTENCIA!D34:W34)&lt;&gt;"")*((ASISTENCIA!D34:W34)=0)))+((((((ASISTENCIA!D34:W34)="X")+((ASISTENCIA!D34:W34)="R")))*((NOTAS!$D$1:$W$1)&lt;&gt;"")*((NOTAS!D34:W34)="")))+((ISNUMBER(NOTAS!D34:W34)*((NOTAS!D34:W34)&gt;=1)*((NOTAS!D34:W34)&lt;PARAMETROS!$B$13))))&gt;0))</f>
        <v>0</v>
      </c>
      <c r="L34" s="7">
        <f>K34+INT(H34/PARAMETROS!$B$14)</f>
        <v>0</v>
      </c>
      <c r="M34" s="7" t="str">
        <f t="shared" si="0"/>
        <v>NO</v>
      </c>
      <c r="N34" s="4" t="str">
        <f t="shared" si="1"/>
        <v>SIN NOVEDAD</v>
      </c>
      <c r="O34" s="4" t="str">
        <f t="array" ref="O34">_xlfn.TEXTJOIN(", ",TRUE(),IF(((((((ASISTENCIA!D34:W34)&lt;&gt;"")*((ASISTENCIA!D34:W34)=0)))+((((((ASISTENCIA!D34:W34)="X")+((ASISTENCIA!D34:W34)="R")))*((NOTAS!$D$1:$W$1)&lt;&gt;"")*((NOTAS!D34:W34)="")))+((ISNUMBER(NOTAS!D34:W34)*((NOTAS!D34:W34)&gt;=1)*((NOTAS!D34:W34)&lt;PARAMETROS!$B$13))))&gt;0),TEXT(ASISTENCIA!$D$1:$W$1,"DD/MM/YYYY"),""))</f>
        <v/>
      </c>
    </row>
    <row r="35" spans="1:15" ht="14.25" customHeight="1" x14ac:dyDescent="0.35">
      <c r="A35" s="7">
        <f>APRENDICES!A35</f>
        <v>34</v>
      </c>
      <c r="B35" s="7">
        <f>APRENDICES!B35</f>
        <v>0</v>
      </c>
      <c r="C35" s="4">
        <f>APRENDICES!C35</f>
        <v>0</v>
      </c>
      <c r="D35" s="7">
        <f>APRENDICES!D35</f>
        <v>0</v>
      </c>
      <c r="E35" s="7">
        <f>COUNTIF(ASISTENCIA!D35:W35,"X")</f>
        <v>0</v>
      </c>
      <c r="F35" s="7">
        <f>COUNTIF(ASISTENCIA!D35:W35,0)</f>
        <v>0</v>
      </c>
      <c r="G35" s="7">
        <f>COUNTIF(ASISTENCIA!D35:W35,"E")</f>
        <v>0</v>
      </c>
      <c r="H35" s="7">
        <f>COUNTIF(ASISTENCIA!D35:W35,"R")</f>
        <v>0</v>
      </c>
      <c r="I35" s="7">
        <f>SUMPRODUCT((((((ASISTENCIA!D35:W35)="X")+((ASISTENCIA!D35:W35)="R")))*((NOTAS!$D$1:$W$1)&lt;&gt;"")*((NOTAS!D35:W35)="")))</f>
        <v>0</v>
      </c>
      <c r="J35" s="7">
        <f>SUMPRODUCT((ISNUMBER(NOTAS!D35:W35)*((NOTAS!D35:W35)&gt;=1)*((NOTAS!D35:W35)&lt;PARAMETROS!$B$13)))</f>
        <v>0</v>
      </c>
      <c r="K35" s="7">
        <f>SUMPRODUCT(--((((((ASISTENCIA!D35:W35)&lt;&gt;"")*((ASISTENCIA!D35:W35)=0)))+((((((ASISTENCIA!D35:W35)="X")+((ASISTENCIA!D35:W35)="R")))*((NOTAS!$D$1:$W$1)&lt;&gt;"")*((NOTAS!D35:W35)="")))+((ISNUMBER(NOTAS!D35:W35)*((NOTAS!D35:W35)&gt;=1)*((NOTAS!D35:W35)&lt;PARAMETROS!$B$13))))&gt;0))</f>
        <v>0</v>
      </c>
      <c r="L35" s="7">
        <f>K35+INT(H35/PARAMETROS!$B$14)</f>
        <v>0</v>
      </c>
      <c r="M35" s="7" t="str">
        <f t="shared" si="0"/>
        <v>NO</v>
      </c>
      <c r="N35" s="4" t="str">
        <f t="shared" si="1"/>
        <v>SIN NOVEDAD</v>
      </c>
      <c r="O35" s="4" t="str">
        <f t="array" ref="O35">_xlfn.TEXTJOIN(", ",TRUE(),IF(((((((ASISTENCIA!D35:W35)&lt;&gt;"")*((ASISTENCIA!D35:W35)=0)))+((((((ASISTENCIA!D35:W35)="X")+((ASISTENCIA!D35:W35)="R")))*((NOTAS!$D$1:$W$1)&lt;&gt;"")*((NOTAS!D35:W35)="")))+((ISNUMBER(NOTAS!D35:W35)*((NOTAS!D35:W35)&gt;=1)*((NOTAS!D35:W35)&lt;PARAMETROS!$B$13))))&gt;0),TEXT(ASISTENCIA!$D$1:$W$1,"DD/MM/YYYY"),""))</f>
        <v/>
      </c>
    </row>
    <row r="36" spans="1:15" ht="14.25" customHeight="1" x14ac:dyDescent="0.35">
      <c r="A36" s="7">
        <f>APRENDICES!A36</f>
        <v>35</v>
      </c>
      <c r="B36" s="7">
        <f>APRENDICES!B36</f>
        <v>0</v>
      </c>
      <c r="C36" s="4">
        <f>APRENDICES!C36</f>
        <v>0</v>
      </c>
      <c r="D36" s="7">
        <f>APRENDICES!D36</f>
        <v>0</v>
      </c>
      <c r="E36" s="7">
        <f>COUNTIF(ASISTENCIA!D36:W36,"X")</f>
        <v>0</v>
      </c>
      <c r="F36" s="7">
        <f>COUNTIF(ASISTENCIA!D36:W36,0)</f>
        <v>0</v>
      </c>
      <c r="G36" s="7">
        <f>COUNTIF(ASISTENCIA!D36:W36,"E")</f>
        <v>0</v>
      </c>
      <c r="H36" s="7">
        <f>COUNTIF(ASISTENCIA!D36:W36,"R")</f>
        <v>0</v>
      </c>
      <c r="I36" s="7">
        <f>SUMPRODUCT((((((ASISTENCIA!D36:W36)="X")+((ASISTENCIA!D36:W36)="R")))*((NOTAS!$D$1:$W$1)&lt;&gt;"")*((NOTAS!D36:W36)="")))</f>
        <v>0</v>
      </c>
      <c r="J36" s="7">
        <f>SUMPRODUCT((ISNUMBER(NOTAS!D36:W36)*((NOTAS!D36:W36)&gt;=1)*((NOTAS!D36:W36)&lt;PARAMETROS!$B$13)))</f>
        <v>0</v>
      </c>
      <c r="K36" s="7">
        <f>SUMPRODUCT(--((((((ASISTENCIA!D36:W36)&lt;&gt;"")*((ASISTENCIA!D36:W36)=0)))+((((((ASISTENCIA!D36:W36)="X")+((ASISTENCIA!D36:W36)="R")))*((NOTAS!$D$1:$W$1)&lt;&gt;"")*((NOTAS!D36:W36)="")))+((ISNUMBER(NOTAS!D36:W36)*((NOTAS!D36:W36)&gt;=1)*((NOTAS!D36:W36)&lt;PARAMETROS!$B$13))))&gt;0))</f>
        <v>0</v>
      </c>
      <c r="L36" s="7">
        <f>K36+INT(H36/PARAMETROS!$B$14)</f>
        <v>0</v>
      </c>
      <c r="M36" s="7" t="str">
        <f t="shared" si="0"/>
        <v>NO</v>
      </c>
      <c r="N36" s="4" t="str">
        <f t="shared" si="1"/>
        <v>SIN NOVEDAD</v>
      </c>
      <c r="O36" s="4" t="str">
        <f t="array" ref="O36">_xlfn.TEXTJOIN(", ",TRUE(),IF(((((((ASISTENCIA!D36:W36)&lt;&gt;"")*((ASISTENCIA!D36:W36)=0)))+((((((ASISTENCIA!D36:W36)="X")+((ASISTENCIA!D36:W36)="R")))*((NOTAS!$D$1:$W$1)&lt;&gt;"")*((NOTAS!D36:W36)="")))+((ISNUMBER(NOTAS!D36:W36)*((NOTAS!D36:W36)&gt;=1)*((NOTAS!D36:W36)&lt;PARAMETROS!$B$13))))&gt;0),TEXT(ASISTENCIA!$D$1:$W$1,"DD/MM/YYYY"),""))</f>
        <v/>
      </c>
    </row>
    <row r="37" spans="1:15" ht="14.25" customHeight="1" x14ac:dyDescent="0.35">
      <c r="A37" s="7">
        <f>APRENDICES!A37</f>
        <v>36</v>
      </c>
      <c r="B37" s="7">
        <f>APRENDICES!B37</f>
        <v>0</v>
      </c>
      <c r="C37" s="4">
        <f>APRENDICES!C37</f>
        <v>0</v>
      </c>
      <c r="D37" s="7">
        <f>APRENDICES!D37</f>
        <v>0</v>
      </c>
      <c r="E37" s="7">
        <f>COUNTIF(ASISTENCIA!D37:W37,"X")</f>
        <v>0</v>
      </c>
      <c r="F37" s="7">
        <f>COUNTIF(ASISTENCIA!D37:W37,0)</f>
        <v>0</v>
      </c>
      <c r="G37" s="7">
        <f>COUNTIF(ASISTENCIA!D37:W37,"E")</f>
        <v>0</v>
      </c>
      <c r="H37" s="7">
        <f>COUNTIF(ASISTENCIA!D37:W37,"R")</f>
        <v>0</v>
      </c>
      <c r="I37" s="7">
        <f>SUMPRODUCT((((((ASISTENCIA!D37:W37)="X")+((ASISTENCIA!D37:W37)="R")))*((NOTAS!$D$1:$W$1)&lt;&gt;"")*((NOTAS!D37:W37)="")))</f>
        <v>0</v>
      </c>
      <c r="J37" s="7">
        <f>SUMPRODUCT((ISNUMBER(NOTAS!D37:W37)*((NOTAS!D37:W37)&gt;=1)*((NOTAS!D37:W37)&lt;PARAMETROS!$B$13)))</f>
        <v>0</v>
      </c>
      <c r="K37" s="7">
        <f>SUMPRODUCT(--((((((ASISTENCIA!D37:W37)&lt;&gt;"")*((ASISTENCIA!D37:W37)=0)))+((((((ASISTENCIA!D37:W37)="X")+((ASISTENCIA!D37:W37)="R")))*((NOTAS!$D$1:$W$1)&lt;&gt;"")*((NOTAS!D37:W37)="")))+((ISNUMBER(NOTAS!D37:W37)*((NOTAS!D37:W37)&gt;=1)*((NOTAS!D37:W37)&lt;PARAMETROS!$B$13))))&gt;0))</f>
        <v>0</v>
      </c>
      <c r="L37" s="7">
        <f>K37+INT(H37/PARAMETROS!$B$14)</f>
        <v>0</v>
      </c>
      <c r="M37" s="7" t="str">
        <f t="shared" si="0"/>
        <v>NO</v>
      </c>
      <c r="N37" s="4" t="str">
        <f t="shared" si="1"/>
        <v>SIN NOVEDAD</v>
      </c>
      <c r="O37" s="4" t="str">
        <f t="array" ref="O37">_xlfn.TEXTJOIN(", ",TRUE(),IF(((((((ASISTENCIA!D37:W37)&lt;&gt;"")*((ASISTENCIA!D37:W37)=0)))+((((((ASISTENCIA!D37:W37)="X")+((ASISTENCIA!D37:W37)="R")))*((NOTAS!$D$1:$W$1)&lt;&gt;"")*((NOTAS!D37:W37)="")))+((ISNUMBER(NOTAS!D37:W37)*((NOTAS!D37:W37)&gt;=1)*((NOTAS!D37:W37)&lt;PARAMETROS!$B$13))))&gt;0),TEXT(ASISTENCIA!$D$1:$W$1,"DD/MM/YYYY"),""))</f>
        <v/>
      </c>
    </row>
    <row r="38" spans="1:15" ht="14.25" customHeight="1" x14ac:dyDescent="0.35">
      <c r="A38" s="7">
        <f>APRENDICES!A38</f>
        <v>37</v>
      </c>
      <c r="B38" s="7">
        <f>APRENDICES!B38</f>
        <v>0</v>
      </c>
      <c r="C38" s="4">
        <f>APRENDICES!C38</f>
        <v>0</v>
      </c>
      <c r="D38" s="7">
        <f>APRENDICES!D38</f>
        <v>0</v>
      </c>
      <c r="E38" s="7">
        <f>COUNTIF(ASISTENCIA!D38:W38,"X")</f>
        <v>0</v>
      </c>
      <c r="F38" s="7">
        <f>COUNTIF(ASISTENCIA!D38:W38,0)</f>
        <v>0</v>
      </c>
      <c r="G38" s="7">
        <f>COUNTIF(ASISTENCIA!D38:W38,"E")</f>
        <v>0</v>
      </c>
      <c r="H38" s="7">
        <f>COUNTIF(ASISTENCIA!D38:W38,"R")</f>
        <v>0</v>
      </c>
      <c r="I38" s="7">
        <f>SUMPRODUCT((((((ASISTENCIA!D38:W38)="X")+((ASISTENCIA!D38:W38)="R")))*((NOTAS!$D$1:$W$1)&lt;&gt;"")*((NOTAS!D38:W38)="")))</f>
        <v>0</v>
      </c>
      <c r="J38" s="7">
        <f>SUMPRODUCT((ISNUMBER(NOTAS!D38:W38)*((NOTAS!D38:W38)&gt;=1)*((NOTAS!D38:W38)&lt;PARAMETROS!$B$13)))</f>
        <v>0</v>
      </c>
      <c r="K38" s="7">
        <f>SUMPRODUCT(--((((((ASISTENCIA!D38:W38)&lt;&gt;"")*((ASISTENCIA!D38:W38)=0)))+((((((ASISTENCIA!D38:W38)="X")+((ASISTENCIA!D38:W38)="R")))*((NOTAS!$D$1:$W$1)&lt;&gt;"")*((NOTAS!D38:W38)="")))+((ISNUMBER(NOTAS!D38:W38)*((NOTAS!D38:W38)&gt;=1)*((NOTAS!D38:W38)&lt;PARAMETROS!$B$13))))&gt;0))</f>
        <v>0</v>
      </c>
      <c r="L38" s="7">
        <f>K38+INT(H38/PARAMETROS!$B$14)</f>
        <v>0</v>
      </c>
      <c r="M38" s="7" t="str">
        <f t="shared" si="0"/>
        <v>NO</v>
      </c>
      <c r="N38" s="4" t="str">
        <f t="shared" si="1"/>
        <v>SIN NOVEDAD</v>
      </c>
      <c r="O38" s="4" t="str">
        <f t="array" ref="O38">_xlfn.TEXTJOIN(", ",TRUE(),IF(((((((ASISTENCIA!D38:W38)&lt;&gt;"")*((ASISTENCIA!D38:W38)=0)))+((((((ASISTENCIA!D38:W38)="X")+((ASISTENCIA!D38:W38)="R")))*((NOTAS!$D$1:$W$1)&lt;&gt;"")*((NOTAS!D38:W38)="")))+((ISNUMBER(NOTAS!D38:W38)*((NOTAS!D38:W38)&gt;=1)*((NOTAS!D38:W38)&lt;PARAMETROS!$B$13))))&gt;0),TEXT(ASISTENCIA!$D$1:$W$1,"DD/MM/YYYY"),""))</f>
        <v/>
      </c>
    </row>
    <row r="39" spans="1:15" ht="14.25" customHeight="1" x14ac:dyDescent="0.35">
      <c r="A39" s="7">
        <f>APRENDICES!A39</f>
        <v>38</v>
      </c>
      <c r="B39" s="7">
        <f>APRENDICES!B39</f>
        <v>0</v>
      </c>
      <c r="C39" s="4">
        <f>APRENDICES!C39</f>
        <v>0</v>
      </c>
      <c r="D39" s="7">
        <f>APRENDICES!D39</f>
        <v>0</v>
      </c>
      <c r="E39" s="7">
        <f>COUNTIF(ASISTENCIA!D39:W39,"X")</f>
        <v>0</v>
      </c>
      <c r="F39" s="7">
        <f>COUNTIF(ASISTENCIA!D39:W39,0)</f>
        <v>0</v>
      </c>
      <c r="G39" s="7">
        <f>COUNTIF(ASISTENCIA!D39:W39,"E")</f>
        <v>0</v>
      </c>
      <c r="H39" s="7">
        <f>COUNTIF(ASISTENCIA!D39:W39,"R")</f>
        <v>0</v>
      </c>
      <c r="I39" s="7">
        <f>SUMPRODUCT((((((ASISTENCIA!D39:W39)="X")+((ASISTENCIA!D39:W39)="R")))*((NOTAS!$D$1:$W$1)&lt;&gt;"")*((NOTAS!D39:W39)="")))</f>
        <v>0</v>
      </c>
      <c r="J39" s="7">
        <f>SUMPRODUCT((ISNUMBER(NOTAS!D39:W39)*((NOTAS!D39:W39)&gt;=1)*((NOTAS!D39:W39)&lt;PARAMETROS!$B$13)))</f>
        <v>0</v>
      </c>
      <c r="K39" s="7">
        <f>SUMPRODUCT(--((((((ASISTENCIA!D39:W39)&lt;&gt;"")*((ASISTENCIA!D39:W39)=0)))+((((((ASISTENCIA!D39:W39)="X")+((ASISTENCIA!D39:W39)="R")))*((NOTAS!$D$1:$W$1)&lt;&gt;"")*((NOTAS!D39:W39)="")))+((ISNUMBER(NOTAS!D39:W39)*((NOTAS!D39:W39)&gt;=1)*((NOTAS!D39:W39)&lt;PARAMETROS!$B$13))))&gt;0))</f>
        <v>0</v>
      </c>
      <c r="L39" s="7">
        <f>K39+INT(H39/PARAMETROS!$B$14)</f>
        <v>0</v>
      </c>
      <c r="M39" s="7" t="str">
        <f t="shared" si="0"/>
        <v>NO</v>
      </c>
      <c r="N39" s="4" t="str">
        <f t="shared" si="1"/>
        <v>SIN NOVEDAD</v>
      </c>
      <c r="O39" s="4" t="str">
        <f t="array" ref="O39">_xlfn.TEXTJOIN(", ",TRUE(),IF(((((((ASISTENCIA!D39:W39)&lt;&gt;"")*((ASISTENCIA!D39:W39)=0)))+((((((ASISTENCIA!D39:W39)="X")+((ASISTENCIA!D39:W39)="R")))*((NOTAS!$D$1:$W$1)&lt;&gt;"")*((NOTAS!D39:W39)="")))+((ISNUMBER(NOTAS!D39:W39)*((NOTAS!D39:W39)&gt;=1)*((NOTAS!D39:W39)&lt;PARAMETROS!$B$13))))&gt;0),TEXT(ASISTENCIA!$D$1:$W$1,"DD/MM/YYYY"),""))</f>
        <v/>
      </c>
    </row>
    <row r="40" spans="1:15" ht="14.25" customHeight="1" x14ac:dyDescent="0.35">
      <c r="A40" s="7">
        <f>APRENDICES!A40</f>
        <v>39</v>
      </c>
      <c r="B40" s="7">
        <f>APRENDICES!B40</f>
        <v>0</v>
      </c>
      <c r="C40" s="4">
        <f>APRENDICES!C40</f>
        <v>0</v>
      </c>
      <c r="D40" s="7">
        <f>APRENDICES!D40</f>
        <v>0</v>
      </c>
      <c r="E40" s="7">
        <f>COUNTIF(ASISTENCIA!D40:W40,"X")</f>
        <v>0</v>
      </c>
      <c r="F40" s="7">
        <f>COUNTIF(ASISTENCIA!D40:W40,0)</f>
        <v>0</v>
      </c>
      <c r="G40" s="7">
        <f>COUNTIF(ASISTENCIA!D40:W40,"E")</f>
        <v>0</v>
      </c>
      <c r="H40" s="7">
        <f>COUNTIF(ASISTENCIA!D40:W40,"R")</f>
        <v>0</v>
      </c>
      <c r="I40" s="7">
        <f>SUMPRODUCT((((((ASISTENCIA!D40:W40)="X")+((ASISTENCIA!D40:W40)="R")))*((NOTAS!$D$1:$W$1)&lt;&gt;"")*((NOTAS!D40:W40)="")))</f>
        <v>0</v>
      </c>
      <c r="J40" s="7">
        <f>SUMPRODUCT((ISNUMBER(NOTAS!D40:W40)*((NOTAS!D40:W40)&gt;=1)*((NOTAS!D40:W40)&lt;PARAMETROS!$B$13)))</f>
        <v>0</v>
      </c>
      <c r="K40" s="7">
        <f>SUMPRODUCT(--((((((ASISTENCIA!D40:W40)&lt;&gt;"")*((ASISTENCIA!D40:W40)=0)))+((((((ASISTENCIA!D40:W40)="X")+((ASISTENCIA!D40:W40)="R")))*((NOTAS!$D$1:$W$1)&lt;&gt;"")*((NOTAS!D40:W40)="")))+((ISNUMBER(NOTAS!D40:W40)*((NOTAS!D40:W40)&gt;=1)*((NOTAS!D40:W40)&lt;PARAMETROS!$B$13))))&gt;0))</f>
        <v>0</v>
      </c>
      <c r="L40" s="7">
        <f>K40+INT(H40/PARAMETROS!$B$14)</f>
        <v>0</v>
      </c>
      <c r="M40" s="7" t="str">
        <f t="shared" si="0"/>
        <v>NO</v>
      </c>
      <c r="N40" s="4" t="str">
        <f t="shared" si="1"/>
        <v>SIN NOVEDAD</v>
      </c>
      <c r="O40" s="4" t="str">
        <f t="array" ref="O40">_xlfn.TEXTJOIN(", ",TRUE(),IF(((((((ASISTENCIA!D40:W40)&lt;&gt;"")*((ASISTENCIA!D40:W40)=0)))+((((((ASISTENCIA!D40:W40)="X")+((ASISTENCIA!D40:W40)="R")))*((NOTAS!$D$1:$W$1)&lt;&gt;"")*((NOTAS!D40:W40)="")))+((ISNUMBER(NOTAS!D40:W40)*((NOTAS!D40:W40)&gt;=1)*((NOTAS!D40:W40)&lt;PARAMETROS!$B$13))))&gt;0),TEXT(ASISTENCIA!$D$1:$W$1,"DD/MM/YYYY"),""))</f>
        <v/>
      </c>
    </row>
    <row r="41" spans="1:15" ht="14.25" customHeight="1" x14ac:dyDescent="0.35">
      <c r="A41" s="7">
        <f>APRENDICES!A41</f>
        <v>40</v>
      </c>
      <c r="B41" s="7">
        <f>APRENDICES!B41</f>
        <v>0</v>
      </c>
      <c r="C41" s="4">
        <f>APRENDICES!C41</f>
        <v>0</v>
      </c>
      <c r="D41" s="7">
        <f>APRENDICES!D41</f>
        <v>0</v>
      </c>
      <c r="E41" s="7">
        <f>COUNTIF(ASISTENCIA!D41:W41,"X")</f>
        <v>0</v>
      </c>
      <c r="F41" s="7">
        <f>COUNTIF(ASISTENCIA!D41:W41,0)</f>
        <v>0</v>
      </c>
      <c r="G41" s="7">
        <f>COUNTIF(ASISTENCIA!D41:W41,"E")</f>
        <v>0</v>
      </c>
      <c r="H41" s="7">
        <f>COUNTIF(ASISTENCIA!D41:W41,"R")</f>
        <v>0</v>
      </c>
      <c r="I41" s="7">
        <f>SUMPRODUCT((((((ASISTENCIA!D41:W41)="X")+((ASISTENCIA!D41:W41)="R")))*((NOTAS!$D$1:$W$1)&lt;&gt;"")*((NOTAS!D41:W41)="")))</f>
        <v>0</v>
      </c>
      <c r="J41" s="7">
        <f>SUMPRODUCT((ISNUMBER(NOTAS!D41:W41)*((NOTAS!D41:W41)&gt;=1)*((NOTAS!D41:W41)&lt;PARAMETROS!$B$13)))</f>
        <v>0</v>
      </c>
      <c r="K41" s="7">
        <f>SUMPRODUCT(--((((((ASISTENCIA!D41:W41)&lt;&gt;"")*((ASISTENCIA!D41:W41)=0)))+((((((ASISTENCIA!D41:W41)="X")+((ASISTENCIA!D41:W41)="R")))*((NOTAS!$D$1:$W$1)&lt;&gt;"")*((NOTAS!D41:W41)="")))+((ISNUMBER(NOTAS!D41:W41)*((NOTAS!D41:W41)&gt;=1)*((NOTAS!D41:W41)&lt;PARAMETROS!$B$13))))&gt;0))</f>
        <v>0</v>
      </c>
      <c r="L41" s="7">
        <f>K41+INT(H41/PARAMETROS!$B$14)</f>
        <v>0</v>
      </c>
      <c r="M41" s="7" t="str">
        <f t="shared" si="0"/>
        <v>NO</v>
      </c>
      <c r="N41" s="4" t="str">
        <f t="shared" si="1"/>
        <v>SIN NOVEDAD</v>
      </c>
      <c r="O41" s="4" t="str">
        <f t="array" ref="O41">_xlfn.TEXTJOIN(", ",TRUE(),IF(((((((ASISTENCIA!D41:W41)&lt;&gt;"")*((ASISTENCIA!D41:W41)=0)))+((((((ASISTENCIA!D41:W41)="X")+((ASISTENCIA!D41:W41)="R")))*((NOTAS!$D$1:$W$1)&lt;&gt;"")*((NOTAS!D41:W41)="")))+((ISNUMBER(NOTAS!D41:W41)*((NOTAS!D41:W41)&gt;=1)*((NOTAS!D41:W41)&lt;PARAMETROS!$B$13))))&gt;0),TEXT(ASISTENCIA!$D$1:$W$1,"DD/MM/YYYY"),""))</f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400-000002000000}">
            <xm:f>APRENDICES!$E2="EN PROCESO DE DESERCIÓN"</xm:f>
            <x14:dxf>
              <font>
                <color rgb="FFFF0000"/>
              </font>
            </x14:dxf>
          </x14:cfRule>
          <x14:cfRule type="expression" priority="3" id="{00000000-000E-0000-0400-000003000000}">
            <xm:f>OR(APRENDICES!$E2="CANCELADO",APRENDICES!$E2="TRASLADADO",APRENDICES!$E2="APLAZADO")</xm:f>
            <x14:dxf>
              <font>
                <color rgb="FF0000FF"/>
              </font>
            </x14:dxf>
          </x14:cfRule>
          <x14:cfRule type="expression" priority="4" id="{00000000-000E-0000-0400-000004000000}">
            <xm:f>OR(APRENDICES!$E2="CONDICIONADO",APRENDICES!$E2="REPORTADO A COMITÉ",APRENDICES!$E2="RETIRO VOLUNTARIO")</xm:f>
            <x14:dxf>
              <font>
                <color rgb="FFE65100"/>
              </font>
            </x14:dxf>
          </x14:cfRule>
          <xm:sqref>A2:O41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2" width="14" customWidth="1"/>
    <col min="3" max="3" width="36" customWidth="1"/>
    <col min="4" max="4" width="26" customWidth="1"/>
    <col min="5" max="5" width="36" customWidth="1"/>
    <col min="6" max="6" width="14" customWidth="1"/>
    <col min="7" max="7" width="16" customWidth="1"/>
    <col min="8" max="8" width="14" customWidth="1"/>
    <col min="9" max="9" width="36" customWidth="1"/>
  </cols>
  <sheetData>
    <row r="1" spans="1:9" ht="39" customHeight="1" x14ac:dyDescent="0.35">
      <c r="A1" s="6" t="s">
        <v>73</v>
      </c>
      <c r="B1" s="6" t="s">
        <v>55</v>
      </c>
      <c r="C1" s="6" t="s">
        <v>74</v>
      </c>
      <c r="D1" s="6" t="s">
        <v>75</v>
      </c>
      <c r="E1" s="6" t="s">
        <v>40</v>
      </c>
      <c r="F1" s="6" t="s">
        <v>76</v>
      </c>
      <c r="G1" s="6" t="s">
        <v>77</v>
      </c>
      <c r="H1" s="6" t="s">
        <v>78</v>
      </c>
      <c r="I1" s="6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pane ySplit="1" topLeftCell="A2" activePane="bottomLeft" state="frozen"/>
      <selection pane="bottomLeft"/>
    </sheetView>
  </sheetViews>
  <sheetFormatPr baseColWidth="10" defaultColWidth="8.6328125" defaultRowHeight="14.5"/>
  <cols>
    <col min="1" max="1" width="34" customWidth="1"/>
    <col min="2" max="2" width="80" customWidth="1"/>
  </cols>
  <sheetData>
    <row r="1">
      <c r="A1" s="6" t="inlineStr">
        <is>
          <t>ACTIVIDAD</t>
        </is>
      </c>
      <c r="B1" s="6" t="inlineStr">
        <is>
          <t>DESCRIPCIÓN</t>
        </is>
      </c>
    </row>
    <row r="2">
      <c r="A2" t="str">
        <f>NOTAS!D1</f>
      </c>
      <c r="B2" t="inlineStr">
        <is>
          <t/>
        </is>
      </c>
    </row>
    <row r="3">
      <c r="A3" t="str">
        <f>NOTAS!E1</f>
      </c>
      <c r="B3" t="inlineStr">
        <is>
          <t/>
        </is>
      </c>
    </row>
    <row r="4">
      <c r="A4" t="str">
        <f>NOTAS!F1</f>
      </c>
      <c r="B4" t="inlineStr">
        <is>
          <t/>
        </is>
      </c>
    </row>
    <row r="5">
      <c r="A5" t="str">
        <f>NOTAS!G1</f>
      </c>
      <c r="B5" t="inlineStr">
        <is>
          <t/>
        </is>
      </c>
    </row>
    <row r="6">
      <c r="A6" t="str">
        <f>NOTAS!H1</f>
      </c>
      <c r="B6" t="inlineStr">
        <is>
          <t/>
        </is>
      </c>
    </row>
    <row r="7">
      <c r="A7" t="str">
        <f>NOTAS!I1</f>
      </c>
      <c r="B7" t="inlineStr">
        <is>
          <t/>
        </is>
      </c>
    </row>
    <row r="8">
      <c r="A8" t="str">
        <f>NOTAS!J1</f>
      </c>
      <c r="B8" t="inlineStr">
        <is>
          <t/>
        </is>
      </c>
    </row>
    <row r="9">
      <c r="A9" t="str">
        <f>NOTAS!K1</f>
      </c>
      <c r="B9" t="inlineStr">
        <is>
          <t/>
        </is>
      </c>
    </row>
    <row r="10">
      <c r="A10" t="str">
        <f>NOTAS!L1</f>
      </c>
      <c r="B10" t="inlineStr">
        <is>
          <t/>
        </is>
      </c>
    </row>
    <row r="11">
      <c r="A11" t="str">
        <f>NOTAS!M1</f>
      </c>
      <c r="B11" t="inlineStr">
        <is>
          <t/>
        </is>
      </c>
    </row>
    <row r="12">
      <c r="A12" t="str">
        <f>NOTAS!N1</f>
      </c>
      <c r="B12" t="inlineStr">
        <is>
          <t/>
        </is>
      </c>
    </row>
    <row r="13">
      <c r="A13" t="str">
        <f>NOTAS!O1</f>
      </c>
      <c r="B13" t="inlineStr">
        <is>
          <t/>
        </is>
      </c>
    </row>
    <row r="14">
      <c r="A14" t="str">
        <f>NOTAS!P1</f>
      </c>
      <c r="B14" t="inlineStr">
        <is>
          <t/>
        </is>
      </c>
    </row>
    <row r="15">
      <c r="A15" t="str">
        <f>NOTAS!Q1</f>
      </c>
      <c r="B15" t="inlineStr">
        <is>
          <t/>
        </is>
      </c>
    </row>
    <row r="16">
      <c r="A16" t="str">
        <f>NOTAS!R1</f>
      </c>
      <c r="B16" t="inlineStr">
        <is>
          <t/>
        </is>
      </c>
    </row>
    <row r="17">
      <c r="A17" t="str">
        <f>NOTAS!S1</f>
      </c>
      <c r="B17" t="inlineStr">
        <is>
          <t/>
        </is>
      </c>
    </row>
    <row r="18">
      <c r="A18" t="str">
        <f>NOTAS!T1</f>
      </c>
      <c r="B18" t="inlineStr">
        <is>
          <t/>
        </is>
      </c>
    </row>
    <row r="19">
      <c r="A19" t="str">
        <f>NOTAS!U1</f>
      </c>
      <c r="B19" t="inlineStr">
        <is>
          <t/>
        </is>
      </c>
    </row>
    <row r="20">
      <c r="A20" t="str">
        <f>NOTAS!V1</f>
      </c>
      <c r="B20" t="inlineStr">
        <is>
          <t/>
        </is>
      </c>
    </row>
    <row r="21">
      <c r="A21" t="str">
        <f>NOTAS!W1</f>
      </c>
      <c r="B21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APRENDICES</vt:lpstr>
      <vt:lpstr>ASISTENCIA</vt:lpstr>
      <vt:lpstr>NOTAS</vt:lpstr>
      <vt:lpstr>ALERTAS</vt:lpstr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Jose Gregorio Contreras Vivas</cp:lastModifiedBy>
  <cp:revision>0</cp:revision>
  <dcterms:created xsi:type="dcterms:W3CDTF">2026-06-12T11:19:44Z</dcterms:created>
  <dcterms:modified xsi:type="dcterms:W3CDTF">2026-07-30T22:35:58Z</dcterms:modified>
  <dc:language>en-US</dc:language>
</cp:coreProperties>
</file>